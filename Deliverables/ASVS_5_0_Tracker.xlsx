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loura\Desktop\Mestrado\desofs2026_wed_ffs_3\Deliverables\"/>
    </mc:Choice>
  </mc:AlternateContent>
  <xr:revisionPtr revIDLastSave="0" documentId="13_ncr:1_{00DC7910-74FB-4FA6-8722-7F7B44D0A0BC}" xr6:coauthVersionLast="47" xr6:coauthVersionMax="47" xr10:uidLastSave="{00000000-0000-0000-0000-000000000000}"/>
  <bookViews>
    <workbookView xWindow="-120" yWindow="-120" windowWidth="29040" windowHeight="15720" tabRatio="500" firstSheet="13" activeTab="1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L23" i="1" l="1"/>
  <c r="E23" i="1"/>
  <c r="G23" i="1"/>
  <c r="J23" i="1"/>
  <c r="D23" i="1"/>
  <c r="H6" i="1"/>
  <c r="H23" i="1" s="1"/>
  <c r="K6" i="1"/>
  <c r="K23" i="1" s="1"/>
  <c r="M6" i="1"/>
  <c r="M23" i="1" s="1"/>
</calcChain>
</file>

<file path=xl/sharedStrings.xml><?xml version="1.0" encoding="utf-8"?>
<sst xmlns="http://schemas.openxmlformats.org/spreadsheetml/2006/main" count="2580" uniqueCount="1312">
  <si>
    <t>Section ID</t>
  </si>
  <si>
    <t>Section Name</t>
  </si>
  <si>
    <t>Req ID</t>
  </si>
  <si>
    <t>Description</t>
  </si>
  <si>
    <t>Level</t>
  </si>
  <si>
    <t>Status</t>
  </si>
  <si>
    <t>Observations</t>
  </si>
  <si>
    <t>Reference / Link</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</si>
  <si>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</si>
  <si>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</si>
  <si>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</si>
  <si>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</si>
  <si>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Not Started</t>
  </si>
  <si>
    <t>SDR01a</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</si>
  <si>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</si>
  <si>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</si>
  <si>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Inventory must include: RS256 key pair, bcrypt/Argon2 for passwords, TLS certificates</t>
  </si>
  <si>
    <t>SDR01, NFR02</t>
  </si>
  <si>
    <t>V11.1.3</t>
  </si>
  <si>
    <t>Verify that cryptographic discovery mechanisms are employed to identify all instances of cryptography in the system, including encryption, hashing, and signing operations.</t>
  </si>
  <si>
    <t>Not Applicable</t>
  </si>
  <si>
    <t>Out of scope for this project phase</t>
  </si>
  <si>
    <t>V11.1.4</t>
  </si>
  <si>
    <t>Verify that a cryptographic inventory is maintained. This must include a documented plan that outlines the migration path to new cryptographic standards, such as post-quantum cryptography, in order to react to future threats.</t>
  </si>
  <si>
    <t>Document fallback plan if RS256 or bcrypt is deprecated</t>
  </si>
  <si>
    <t>V11.2</t>
  </si>
  <si>
    <t>Secure Cryptography Implementation</t>
  </si>
  <si>
    <t>V11.2.1</t>
  </si>
  <si>
    <t>Verify that industry-validated implementations (including libraries and hardware-accelerated implementations) are used for cryptographic operations.</t>
  </si>
  <si>
    <t>SDR01</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</si>
  <si>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</si>
  <si>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</si>
  <si>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</si>
  <si>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</si>
  <si>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</si>
  <si>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</si>
  <si>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NFR02</t>
  </si>
  <si>
    <t>V11.2.5</t>
  </si>
  <si>
    <t>Verify that all cryptographic modules fail securely, and errors are handled in a way that does not enable vulnerabilities, such as Padding Oracle attacks.</t>
  </si>
  <si>
    <t>SDR12</t>
  </si>
  <si>
    <t>V11.3</t>
  </si>
  <si>
    <t>Encryption Algorithms</t>
  </si>
  <si>
    <t>V11.3.1</t>
  </si>
  <si>
    <t>Verify that insecure block modes (e.g., ECB) and weak padding schemes (e.g., PKCS#1 v1.5) are not used.</t>
  </si>
  <si>
    <t>V11.3.2</t>
  </si>
  <si>
    <t>Verify that only approved ciphers and modes such as AES with GCM are used.</t>
  </si>
  <si>
    <t>NFR01</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</si>
  <si>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</si>
  <si>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</si>
  <si>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</si>
  <si>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</si>
  <si>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SDR01b</t>
  </si>
  <si>
    <t>V11.3.5</t>
  </si>
  <si>
    <t>Verify that any combination of an encryption algorithm and a MAC algorithm is operating in encrypt-then-MAC mode.</t>
  </si>
  <si>
    <t>AES-GCM (AEAD) already provides authentication — no separate MAC needed</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</si>
  <si>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</si>
  <si>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</si>
  <si>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</si>
  <si>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</si>
  <si>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</si>
  <si>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</si>
  <si>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</si>
  <si>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</si>
  <si>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</si>
  <si>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</si>
  <si>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</si>
  <si>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</si>
  <si>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</si>
  <si>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</si>
  <si>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</si>
  <si>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</si>
  <si>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</si>
  <si>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</si>
  <si>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</si>
  <si>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</si>
  <si>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</si>
  <si>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</si>
  <si>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</si>
  <si>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</si>
  <si>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</si>
  <si>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</si>
  <si>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Infrastructure-level concern; out of scope for application layer</t>
  </si>
  <si>
    <t>V11.7.2</t>
  </si>
  <si>
    <t>Verify that data minimization ensures the minimal amount of data is exposed during processing, and ensure that data is encrypted immediately after use or as soon as feasible.</t>
  </si>
  <si>
    <t>SDR16</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</si>
  <si>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</si>
  <si>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</si>
  <si>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</si>
  <si>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</si>
  <si>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</si>
  <si>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</si>
  <si>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</si>
  <si>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</si>
  <si>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</si>
  <si>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</si>
  <si>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</si>
  <si>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</si>
  <si>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</si>
  <si>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</si>
  <si>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</si>
  <si>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</si>
  <si>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</si>
  <si>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</si>
  <si>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</si>
  <si>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</si>
  <si>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</si>
  <si>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</si>
  <si>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</si>
  <si>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</si>
  <si>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</si>
  <si>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</si>
  <si>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</si>
  <si>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</si>
  <si>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</si>
  <si>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</si>
  <si>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</si>
  <si>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</si>
  <si>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</si>
  <si>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</si>
  <si>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</si>
  <si>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</si>
  <si>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</si>
  <si>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Spring/Jackson faz parsing único de JSON	</t>
  </si>
  <si>
    <t xml:space="preserve">SDR06 </t>
  </si>
  <si>
    <t>V1.1.2</t>
  </si>
  <si>
    <t>Verify that the application performs output encoding and escaping either as a final step before being used by the interpreter for which it is intended or by the interpreter itself.</t>
  </si>
  <si>
    <t xml:space="preserve">Jackson serializa JSON automaticamente </t>
  </si>
  <si>
    <t>SDR09</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</si>
  <si>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</si>
  <si>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</si>
  <si>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</si>
  <si>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</si>
  <si>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API retorna apenas JSON; sem HTML rendering </t>
  </si>
  <si>
    <t>V1.2.2</t>
  </si>
  <si>
    <t>Verify that when dynamically building URLs, untrusted data is encoded according to its context (e.g., URL encoding or base64url encoding for query or path parameters). Ensure that only safe URL protocols are permitted (e.g., disallow javascript: or data:).</t>
  </si>
  <si>
    <t xml:space="preserve">API não constrói URLs dinâmicas com input do utilizador </t>
  </si>
  <si>
    <t>V1.2.3</t>
  </si>
  <si>
    <t>Verify that output encoding or escaping is used when dynamically building JavaScript content (including JSON), to avoid changing the message or document structure (to avoid JavaScript and JSON injection).</t>
  </si>
  <si>
    <t xml:space="preserve">REST API JSON; sem contexto JavaScript </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</si>
  <si>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</si>
  <si>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</si>
  <si>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SDR08 / TC17 </t>
  </si>
  <si>
    <t>V1.2.5</t>
  </si>
  <si>
    <t>Verify that the application protects against OS command injection and that operating system calls use parameterized OS queries or use contextual command line output encoding.</t>
  </si>
  <si>
    <t xml:space="preserve">SDR13 / TC15 </t>
  </si>
  <si>
    <t>V1.2.6</t>
  </si>
  <si>
    <t>Verify that the application protects against LDAP injection vulnerabilities, or that specific security controls to prevent LDAP injection have been implemented.</t>
  </si>
  <si>
    <t xml:space="preserve">Sem LDAP no sistema </t>
  </si>
  <si>
    <t>V1.2.7</t>
  </si>
  <si>
    <t>Verify that the application is protected against XPath injection attacks by using query parameterization or precompiled queries.</t>
  </si>
  <si>
    <t xml:space="preserve">Sem XML/XPath </t>
  </si>
  <si>
    <t>V1.2.8</t>
  </si>
  <si>
    <t>Verify that LaTeX processors are configured securely (such as not using the "--shell-escape" flag) and an allowlist of commands is used to prevent LaTeX injection attacks.</t>
  </si>
  <si>
    <t xml:space="preserve">Sem LaTeX </t>
  </si>
  <si>
    <t>V1.2.9</t>
  </si>
  <si>
    <t>Verify that the application escapes special characters in regular expressions (typically using a backslash) to prevent them from being misinterpreted as metacharacters.</t>
  </si>
  <si>
    <t xml:space="preserve">Regex de validação de filenames (^[a-zA-Z0-9_\-]+\.csv$) </t>
  </si>
  <si>
    <t>SDR13</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</si>
  <si>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</si>
  <si>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</si>
  <si>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Coffeetaria gera CSV — vetor real (nomes de pratos com =CMD) </t>
  </si>
  <si>
    <t xml:space="preserve">SDR14 / TC37 </t>
  </si>
  <si>
    <t>V1.3</t>
  </si>
  <si>
    <t>Sanitization</t>
  </si>
  <si>
    <t>V1.3.1</t>
  </si>
  <si>
    <t>Verify that all untrusted HTML input from WYSIWYG editors or similar is sanitized using a well-known and secure HTML sanitization library or framework feature.</t>
  </si>
  <si>
    <t xml:space="preserve">Sem WYSIWYG </t>
  </si>
  <si>
    <t>V1.3.2</t>
  </si>
  <si>
    <t>Verify that the application avoids the use of eval() or other dynamic code execution features such as Spring Expression Language (SpEL). Where there is no alternative, any user input being included must be sanitized before being executed.</t>
  </si>
  <si>
    <t xml:space="preserve">SAST deve detetar SpEL inseguro em anotações </t>
  </si>
  <si>
    <t>SDR23 / TC24</t>
  </si>
  <si>
    <t>V1.3.3</t>
  </si>
  <si>
    <t>Verify that data being passed to a potentially dangerous context is sanitized beforehand to enforce safety measures, such as only allowing characters which are safe for this context and trimming input which is too long.</t>
  </si>
  <si>
    <t xml:space="preserve">Input validado por DTOs estritos </t>
  </si>
  <si>
    <t xml:space="preserve">SDR06, SDR07 </t>
  </si>
  <si>
    <t>V1.3.4</t>
  </si>
  <si>
    <t>Verify that user-supplied Scalable Vector Graphics (SVG) scriptable content is validated or sanitized to contain only tags and attributes (such as draw graphics) that are safe for the application, e.g., do not contain scripts and foreignObject.</t>
  </si>
  <si>
    <t xml:space="preserve">Sem SVG </t>
  </si>
  <si>
    <t>V1.3.5</t>
  </si>
  <si>
    <t>Verify that the application sanitizes or disables user-supplied scriptable or expression template language content, such as Markdown, CSS or XSL stylesheets, BBCode, or similar.</t>
  </si>
  <si>
    <t xml:space="preserve">Sem template engine exposta ao utilizador </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</si>
  <si>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</si>
  <si>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</si>
  <si>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Sem chamadas HTTP outbound a URLs do utilizador </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</si>
  <si>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</si>
  <si>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</si>
  <si>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Sem server-side template rendering exposto </t>
  </si>
  <si>
    <t>V1.3.8</t>
  </si>
  <si>
    <t>Verify that the application appropriately sanitizes untrusted input before use in Java Naming and Directory Interface (JNDI) queries and that JNDI is configured securely to prevent JNDI injection attacks.</t>
  </si>
  <si>
    <t xml:space="preserve">SCA/SAST cobre Log4Shell e afins </t>
  </si>
  <si>
    <t xml:space="preserve">SDR23 / TC23 </t>
  </si>
  <si>
    <t>V1.3.9</t>
  </si>
  <si>
    <t>Verify that the application sanitizes content before it is sent to memcache to prevent injection attacks.</t>
  </si>
  <si>
    <t xml:space="preserve">Sem memcache </t>
  </si>
  <si>
    <t>V1.3.10</t>
  </si>
  <si>
    <t>Verify that format strings which might resolve in an unexpected or malicious way when used are sanitized before being processed.</t>
  </si>
  <si>
    <t xml:space="preserve">Structured logging sem concatenação de strings </t>
  </si>
  <si>
    <t>V1.3.11</t>
  </si>
  <si>
    <t>Verify that the application sanitizes user input before passing to mail systems to protect against SMTP or IMAP injection.</t>
  </si>
  <si>
    <t xml:space="preserve">Sem funcionalidade de email </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</si>
  <si>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</si>
  <si>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</si>
  <si>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</si>
  <si>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</si>
  <si>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</si>
  <si>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</si>
  <si>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 xml:space="preserve">Java é memory-safe por design </t>
  </si>
  <si>
    <t>V1.4.2</t>
  </si>
  <si>
    <t>Verify that sign, range, and input validation techniques are used to prevent integer overflows.</t>
  </si>
  <si>
    <t xml:space="preserve">Validar quantidades e preços de orders </t>
  </si>
  <si>
    <t xml:space="preserve">SDR06 / TC24 </t>
  </si>
  <si>
    <t>V1.4.3</t>
  </si>
  <si>
    <t>Verify that dynamically allocated memory and resources are released, and that references or pointers to freed memory are removed or set to null to prevent dangling pointers and use-after-free vulnerabilities.</t>
  </si>
  <si>
    <t xml:space="preserve">Java GC gere memória automaticamente </t>
  </si>
  <si>
    <t>V1.5</t>
  </si>
  <si>
    <t>Safe Deserialization</t>
  </si>
  <si>
    <t>V1.5.1</t>
  </si>
  <si>
    <t>Verify that the application configures XML parsers to use a restrictive configuration and that unsafe features such as resolving external entities are disabled to prevent XML eXternal Entity (XXE) attacks.</t>
  </si>
  <si>
    <t xml:space="preserve">Sem XML — API usa JSON exclusivamente </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</si>
  <si>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</si>
  <si>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</si>
  <si>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Jackson com DTOs estritos; sem polimorfismo inseguro </t>
  </si>
  <si>
    <t xml:space="preserve">SDR07 / TC06 </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</si>
  <si>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</si>
  <si>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</si>
  <si>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ObjectMapper único em toda a aplicação </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</si>
  <si>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</si>
  <si>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</si>
  <si>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</si>
  <si>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</si>
  <si>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</si>
  <si>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</si>
  <si>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SDR06</t>
  </si>
  <si>
    <t>V2.1.3</t>
  </si>
  <si>
    <t>Verify that expectations for business logic limits and validations are documented, including both per-user and globally across the application.</t>
  </si>
  <si>
    <t xml:space="preserve">SDR04 / FR17b </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</si>
  <si>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</si>
  <si>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</si>
  <si>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</si>
  <si>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</si>
  <si>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</si>
  <si>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</si>
  <si>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 xml:space="preserve">SDR06, SDR02 / TC24 </t>
  </si>
  <si>
    <t>V2.2.3</t>
  </si>
  <si>
    <t>Verify that the application ensures that combinations of related data items are reasonable according to the pre-defined rules.</t>
  </si>
  <si>
    <t xml:space="preserve">SDR06 / TC11 </t>
  </si>
  <si>
    <t>V2.3</t>
  </si>
  <si>
    <t>Business Logic Security</t>
  </si>
  <si>
    <t>V2.3.1</t>
  </si>
  <si>
    <t>Verify that the application will only process business logic flows for the same user in the expected sequential step order and without skipping steps.</t>
  </si>
  <si>
    <t xml:space="preserve">Order lifecycle: PENDING → PREPARING → READY → DELIVERED (sem saltos) </t>
  </si>
  <si>
    <t>SDR02 / TC14 /TC38</t>
  </si>
  <si>
    <t>V2.3.2</t>
  </si>
  <si>
    <t>Verify that business logic limits are implemented per the application's documentation to avoid business logic flaws being exploited.</t>
  </si>
  <si>
    <t xml:space="preserve">SDR04 / TC01, TC13 </t>
  </si>
  <si>
    <t>V2.3.3</t>
  </si>
  <si>
    <t>Verify that transactions are being used at the business logic level such that either a business logic operation succeeds in its entirety or it is rolled back to the previous correct state.</t>
  </si>
  <si>
    <t>NFR09/TC39</t>
  </si>
  <si>
    <t>V2.3.4</t>
  </si>
  <si>
    <t>Verify that business logic level locking mechanisms are used to ensure that limited quantity resources (such as theater seats or delivery slots) cannot be double-booked by manipulating the application's logic.</t>
  </si>
  <si>
    <t xml:space="preserve">Pratos em stock limitado; concorrência em orders do mesmo menu </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</si>
  <si>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</si>
  <si>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</si>
  <si>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Sistema não prevê aprovação dupla; report generation é single-admin </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</si>
  <si>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</si>
  <si>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</si>
  <si>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</si>
  <si>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</si>
  <si>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 xml:space="preserve">SDR04 / TC01, TC04, TC08, TC13 </t>
  </si>
  <si>
    <t>V2.4.2</t>
  </si>
  <si>
    <t>Verify that business logic flows require realistic human timing, preventing excessively rapid transaction submissions.</t>
  </si>
  <si>
    <t xml:space="preserve">Throttling temporal em order creation para prevenir submissões em rajada </t>
  </si>
  <si>
    <t xml:space="preserve">SDR04 / TC13 </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</si>
  <si>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</si>
  <si>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</si>
  <si>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</si>
  <si>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</si>
  <si>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Backend REST API — no browser context</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</si>
  <si>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</si>
  <si>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</si>
  <si>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</si>
  <si>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</si>
  <si>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API returns JSON only, no HTML rendering</t>
  </si>
  <si>
    <t>V3.2.2</t>
  </si>
  <si>
    <t>Verify that content intended to be displayed as text, rather than rendered as HTML, is handled using safe rendering functions (such as createTextNode or textContent) to prevent unintended execution of content such as HTML or JavaScript.</t>
  </si>
  <si>
    <t>No HTML output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</si>
  <si>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</si>
  <si>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</si>
  <si>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t>
  </si>
  <si>
    <t>V3.3</t>
  </si>
  <si>
    <t>Cookie Setup</t>
  </si>
  <si>
    <t>V3.3.1</t>
  </si>
  <si>
    <t>Verify that cookies have the 'Secure' attribute set, and if the '\__Host-' prefix is not used for the cookie name, the '__Secure-' prefix must be used for the cookie name.</t>
  </si>
  <si>
    <t>JWT in Authorization header, no cookies used</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</si>
  <si>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</si>
  <si>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</si>
  <si>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</si>
  <si>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</si>
  <si>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</si>
  <si>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</si>
  <si>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</si>
  <si>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</si>
  <si>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</si>
  <si>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</si>
  <si>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</si>
  <si>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</si>
  <si>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</si>
  <si>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</si>
  <si>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</si>
  <si>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</si>
  <si>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</si>
  <si>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No HTML responses</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</si>
  <si>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</si>
  <si>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</si>
  <si>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</si>
  <si>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</si>
  <si>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No browser navigation</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</si>
  <si>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</si>
  <si>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</si>
  <si>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</si>
  <si>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</si>
  <si>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</si>
  <si>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</si>
  <si>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</si>
  <si>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</si>
  <si>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</si>
  <si>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</si>
  <si>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</si>
  <si>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</si>
  <si>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</si>
  <si>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</si>
  <si>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</si>
  <si>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</si>
  <si>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service</t>
  </si>
  <si>
    <t>V3.5.5</t>
  </si>
  <si>
    <t>Verify that messages received by the postMessage interface are discarded if the origin of the message is not trusted, or if the syntax of the message is invalid.</t>
  </si>
  <si>
    <t>No postMessage used</t>
  </si>
  <si>
    <t>V3.5.6</t>
  </si>
  <si>
    <t>Verify that JSONP functionality is not enabled anywhere across the application to avoid Cross-Site Script Inclusion (XSSI) attacks.</t>
  </si>
  <si>
    <t>No JSONP — REST/JSON API only</t>
  </si>
  <si>
    <t>V3.5.7</t>
  </si>
  <si>
    <t>Verify that data requiring authorization is not included in script resource responses, like JavaScript files, to prevent Cross-Site Script Inclusion (XSSI) attacks.</t>
  </si>
  <si>
    <t>No script resources served</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</si>
  <si>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</si>
  <si>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</si>
  <si>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No browser-rendered pages</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</si>
  <si>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</si>
  <si>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</si>
  <si>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</si>
  <si>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</si>
  <si>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client-side assets</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</si>
  <si>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</si>
  <si>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</si>
  <si>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</si>
  <si>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</si>
  <si>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t>
  </si>
  <si>
    <t>V3.7.2</t>
  </si>
  <si>
    <t>Verify that the application will only automatically redirect the user to a different hostname or domain (which is not controlled by the application) where the destination appears on an allowlist.</t>
  </si>
  <si>
    <t>No redirects to external URLs</t>
  </si>
  <si>
    <t>V3.7.3</t>
  </si>
  <si>
    <t>Verify that the application shows a notification when the user is being redirected to a URL outside of the application's control, with an option to cancel the navigation.</t>
  </si>
  <si>
    <t>No external redirects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</si>
  <si>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</si>
  <si>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</si>
  <si>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Infrastructure concern, out of scope</t>
  </si>
  <si>
    <t>V3.7.5</t>
  </si>
  <si>
    <t>Verify that the application behaves as documented (such as warning the user or blocking access) if the browser used to access the application does not support the expected security features.</t>
  </si>
  <si>
    <t>No browser-facing interface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</si>
  <si>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</si>
  <si>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</si>
  <si>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</si>
  <si>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</si>
  <si>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</si>
  <si>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</si>
  <si>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Pure REST API — no user-facing browser endpoints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</si>
  <si>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</si>
  <si>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</si>
  <si>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</si>
  <si>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</si>
  <si>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</si>
  <si>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</si>
  <si>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JWT already provides request-level authentication; per-message signing not required</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</si>
  <si>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</si>
  <si>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</si>
  <si>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</si>
  <si>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</si>
  <si>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</si>
  <si>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</si>
  <si>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</si>
  <si>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</si>
  <si>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</si>
  <si>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</si>
  <si>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</si>
  <si>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</si>
  <si>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</si>
  <si>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</si>
  <si>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</si>
  <si>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</si>
  <si>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Coffeetaria uses REST, not GraphQL</t>
  </si>
  <si>
    <t>V4.3.2</t>
  </si>
  <si>
    <t>Verify that GraphQL introspection queries are disabled in the production environment unless the GraphQL API is meant to be used by other parties.</t>
  </si>
  <si>
    <t>No GraphQL used</t>
  </si>
  <si>
    <t>V4.4</t>
  </si>
  <si>
    <t>WebSocket</t>
  </si>
  <si>
    <t>V4.4.1</t>
  </si>
  <si>
    <t>Verify that WebSocket over TLS (WSS) is used for all WebSocket connections.</t>
  </si>
  <si>
    <t>No WebSockets used — REST API only</t>
  </si>
  <si>
    <t>V4.4.2</t>
  </si>
  <si>
    <t>Verify that, during the initial HTTP WebSocket handshake, the Origin header field is checked against a list of origins allowed for the application.</t>
  </si>
  <si>
    <t>No WebSockets used</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</si>
  <si>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</si>
  <si>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</si>
  <si>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</si>
  <si>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</si>
  <si>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</si>
  <si>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</si>
  <si>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</si>
  <si>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</si>
  <si>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Compliant</t>
  </si>
  <si>
    <t>@Pattern on FileWriteRequestDTO.path: ^([a-zA-Z0-9_\-]+/)*[a-zA-Z0-9_\-]+\.[a-zA-Z0-9]{1,10}$</t>
  </si>
  <si>
    <t>V5.2</t>
  </si>
  <si>
    <t>File Upload and Content</t>
  </si>
  <si>
    <t>V5.2.1</t>
  </si>
  <si>
    <t>Verify that the application will only accept files of a size which it can process without causing a loss of performance or a denial of service attack.</t>
  </si>
  <si>
    <t>No user file upload — app generates files internally</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</si>
  <si>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</si>
  <si>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</si>
  <si>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No user file upload</t>
  </si>
  <si>
    <t>V5.2.3</t>
  </si>
  <si>
    <t>Verify that the application checks compressed files (e.g., zip, gz, docx, odt) against maximum allowed uncompressed size and against maximum number of files before uncompressing the file.</t>
  </si>
  <si>
    <t>No compressed file handling</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</si>
  <si>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</si>
  <si>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</si>
  <si>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</si>
  <si>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</si>
  <si>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</si>
  <si>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</si>
  <si>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No image upload</t>
  </si>
  <si>
    <t>V5.3</t>
  </si>
  <si>
    <t>File Storage</t>
  </si>
  <si>
    <t>V5.3.1</t>
  </si>
  <si>
    <t>Verify that files uploaded or generated by untrusted input and stored in a public folder, are not executed as server-side program code when accessed directly with an HTTP request.</t>
  </si>
  <si>
    <t>SDR14</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</si>
  <si>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</si>
  <si>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</si>
  <si>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FileSystemService.resolveSafe() confines to basePath + @Pattern on path DTO prevents .. traversal</t>
  </si>
  <si>
    <t>SDR13, TC15</t>
  </si>
  <si>
    <t>V5.3.3</t>
  </si>
  <si>
    <t>Verify that server-side file processing, such as file decompression, ignores user-provided path information to prevent vulnerabilities such as zip slip.</t>
  </si>
  <si>
    <t>No file decompression in Coffeetaria</t>
  </si>
  <si>
    <t>V5.4</t>
  </si>
  <si>
    <t>File Download</t>
  </si>
  <si>
    <t>V5.4.1</t>
  </si>
  <si>
    <t>Verify that the application validates or ignores user-submitted filenames, including in a JSON, JSONP, or URL parameter and specifies a filename in the Content-Disposition header field in the response.</t>
  </si>
  <si>
    <t>@Pattern allowlist on FileWriteRequestDTO and DirectoryCreateRequestDTO paths</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</si>
  <si>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</si>
  <si>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</si>
  <si>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</si>
  <si>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</si>
  <si>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Reports are system-generated, not from untrusted external sources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</si>
  <si>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</si>
  <si>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</si>
  <si>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</si>
  <si>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</si>
  <si>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SDR04</t>
  </si>
  <si>
    <t>V6.1.2</t>
  </si>
  <si>
    <t>Verify that a list of context-specific words is documented in order to prevent their use in passwords. The list could include permutations of organization names, product names, system identifiers, project codenames, department or role names, and similar.</t>
  </si>
  <si>
    <t>e.g., "coffeetaria", "admin123" should be blocked</t>
  </si>
  <si>
    <t>SDR05</t>
  </si>
  <si>
    <t>V6.1.3</t>
  </si>
  <si>
    <t>Verify that, if the application includes multiple authentication pathways, these are all documented together with the security controls and authentication strength which must be consistently enforced across them.</t>
  </si>
  <si>
    <t>Single authentication pathway (username/password + JWT)</t>
  </si>
  <si>
    <t>V6.2</t>
  </si>
  <si>
    <t>Password Security</t>
  </si>
  <si>
    <t>V6.2.1</t>
  </si>
  <si>
    <t>Verify that user set passwords are at least 8 characters in length although a minimum of 15 characters is strongly recommended.</t>
  </si>
  <si>
    <t>PasswordPolicyService min=12 + @Size(min=12) in UserDTO and LoginRequestDTO</t>
  </si>
  <si>
    <t>SDR05, TC01</t>
  </si>
  <si>
    <t>V6.2.2</t>
  </si>
  <si>
    <t>Verify that users can change their password.</t>
  </si>
  <si>
    <t>FR08</t>
  </si>
  <si>
    <t>V6.2.3</t>
  </si>
  <si>
    <t>Verify that password change functionality requires the user's current and new password.</t>
  </si>
  <si>
    <t>Must verify current password before allowing change</t>
  </si>
  <si>
    <t>V6.2.4</t>
  </si>
  <si>
    <t>Verify that passwords submitted during account registration or password change are checked against an available set of, at least, the top 3000 passwords which match the application's password policy, e.g. minimum length.</t>
  </si>
  <si>
    <t>HaveIBeenPwnedClient (k-anonymity SHA-1) called on createUser and updateUser</t>
  </si>
  <si>
    <t>SDR05b</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</si>
  <si>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</si>
  <si>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</si>
  <si>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</si>
  <si>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</si>
  <si>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REST API — no HTML forms rendered</t>
  </si>
  <si>
    <t>V6.2.7</t>
  </si>
  <si>
    <t>Verify that "paste" functionality, browser password helpers, and external password managers are permitted.</t>
  </si>
  <si>
    <t>REST API — no HTML forms</t>
  </si>
  <si>
    <t>V6.2.8</t>
  </si>
  <si>
    <t>Verify that the application verifies the user's password exactly as received from the user, without any modifications such as truncation or case transformation.</t>
  </si>
  <si>
    <t>BCryptPasswordEncoder.matches() used in AuthController login flow</t>
  </si>
  <si>
    <t>NFR02, SDR05</t>
  </si>
  <si>
    <t>V6.2.9</t>
  </si>
  <si>
    <t>Verify that passwords of at least 64 characters are permitted.</t>
  </si>
  <si>
    <t>@Size(max=128) in UserDTO and LoginRequestDTO; PasswordPolicyService max=128</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</si>
  <si>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</si>
  <si>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</si>
  <si>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</si>
  <si>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</si>
  <si>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Block "coffeetaria", "admin", username as password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</si>
  <si>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</si>
  <si>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</si>
  <si>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</si>
  <si>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</si>
  <si>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</si>
  <si>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</si>
  <si>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SimpleRateLimiter: 5 attempts/15 min per username and per IP</t>
  </si>
  <si>
    <t>SDR04, TC01</t>
  </si>
  <si>
    <t>V6.3.2</t>
  </si>
  <si>
    <t>Verify that default user accounts (e.g., "root", "admin", or "sa") are not present in the application or are disabled.</t>
  </si>
  <si>
    <t>Default user INSERT statements removed from data.sql; data.sql now comment-only for users</t>
  </si>
  <si>
    <t>FR05a</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</si>
  <si>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</si>
  <si>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</si>
  <si>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Coffeetaria uses single-factor (username/password) only</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</si>
  <si>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</si>
  <si>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</si>
  <si>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</si>
  <si>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</si>
  <si>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Could be logged (SDR19) but no user notification defined</t>
  </si>
  <si>
    <t>SDR19</t>
  </si>
  <si>
    <t>V6.3.6</t>
  </si>
  <si>
    <t>Verify that email is not used as either a single-factor or multi-factor authentication mechanism.</t>
  </si>
  <si>
    <t>Uses username/password, not email-based auth</t>
  </si>
  <si>
    <t>V6.3.7</t>
  </si>
  <si>
    <t>Verify that users are notified after updates to authentication details, such as credential resets or modification of the username or email address.</t>
  </si>
  <si>
    <t>Audit log exists (SDR20) but user notification not defined</t>
  </si>
  <si>
    <t>SDR20</t>
  </si>
  <si>
    <t>V6.3.8</t>
  </si>
  <si>
    <t>Verify that valid users cannot be deduced from failed authentication challenges, such as by basing on error messages, HTTP response codes, or different response times. Registration and forgot password functionality must also have this protection.</t>
  </si>
  <si>
    <t>AuthController always returns generic "Invalid credentials"; username enumeration prevented</t>
  </si>
  <si>
    <t>TC03</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</si>
  <si>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</si>
  <si>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</si>
  <si>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</si>
  <si>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</si>
  <si>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FR09</t>
  </si>
  <si>
    <t>V6.4.2</t>
  </si>
  <si>
    <t>Verify that password hints or knowledge-based authentication (so-called "secret questions") are not present.</t>
  </si>
  <si>
    <t>No password hints or secret questions in Coffeetaria</t>
  </si>
  <si>
    <t>V6.4.3</t>
  </si>
  <si>
    <t>Verify that a secure process for resetting a forgotten password is implemented, that does not bypass any enabled multi-factor authentication mechanisms.</t>
  </si>
  <si>
    <t>Password reset flow not defined in requirements</t>
  </si>
  <si>
    <t>FR05b</t>
  </si>
  <si>
    <t>V6.4.4</t>
  </si>
  <si>
    <t>Verify that if a multi-factor authentication factor is lost, evidence of identity proofing is performed at the same level as during enrollment.</t>
  </si>
  <si>
    <t>No MFA used</t>
  </si>
  <si>
    <t>V6.4.5</t>
  </si>
  <si>
    <t>Verify that renewal instructions for authentication mechanisms which expire are sent with enough time to be carried out before the old authentication mechanism expires, configuring automated reminders if necessary.</t>
  </si>
  <si>
    <t>No expiring authentication mechanisms beyond JWT (handled by SDR03)</t>
  </si>
  <si>
    <t>V6.4.6</t>
  </si>
  <si>
    <t>Verify that administrative users can initiate the password reset process for the user, but that this does not allow them to change or choose the user's password. This prevents a situation where they know the user's password.</t>
  </si>
  <si>
    <t>FR05 — admin can deactivate; password reset flow needs clarification</t>
  </si>
  <si>
    <t>FR05</t>
  </si>
  <si>
    <t>V6.5</t>
  </si>
  <si>
    <t>General Multi-factor authentication requirements</t>
  </si>
  <si>
    <t>V6.5.1</t>
  </si>
  <si>
    <t>Verify that lookup secrets, out-of-band authentication requests or codes, and time-based one-time passwords (TOTPs) are only successfully usable once.</t>
  </si>
  <si>
    <t>No MFA/OTP used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</si>
  <si>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</si>
  <si>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</si>
  <si>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</si>
  <si>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</si>
  <si>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</si>
  <si>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</si>
  <si>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</si>
  <si>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</si>
  <si>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</si>
  <si>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</si>
  <si>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</si>
  <si>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</si>
  <si>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No biometric auth</t>
  </si>
  <si>
    <t>V6.5.8</t>
  </si>
  <si>
    <t>Verify that time-based one-time passwords (TOTPs) are checked based on a time source from a trusted service and not from an untrusted or client provided time.</t>
  </si>
  <si>
    <t>No TOTP used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</si>
  <si>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</si>
  <si>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</si>
  <si>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</si>
  <si>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</si>
  <si>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out-of-band authentication</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</si>
  <si>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</si>
  <si>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</si>
  <si>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</si>
  <si>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</si>
  <si>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</si>
  <si>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</si>
  <si>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notifications used</t>
  </si>
  <si>
    <t>V6.7</t>
  </si>
  <si>
    <t>Cryptographic authentication mechanism</t>
  </si>
  <si>
    <t>V6.7.1</t>
  </si>
  <si>
    <t>Verify that the certificates used to verify cryptographic authentication assertions are stored in a way protects them from modification.</t>
  </si>
  <si>
    <t>No client certificate authentication</t>
  </si>
  <si>
    <t>V6.7.2</t>
  </si>
  <si>
    <t>Verify that the challenge nonce is at least 64 bits in length, and statistically unique or unique over the lifetime of the cryptographic device.</t>
  </si>
  <si>
    <t>No challenge-response authentication</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</si>
  <si>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</si>
  <si>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</si>
  <si>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</si>
  <si>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</si>
  <si>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No external Identity Provider used</t>
  </si>
  <si>
    <t>V6.8.2</t>
  </si>
  <si>
    <t>Verify that the presence and integrity of digital signatures on authentication assertions (for example on JWTs or SAML assertions) are always validated, rejecting any assertions that are unsigned or have invalid signatures.</t>
  </si>
  <si>
    <t>No SAML/IdP used</t>
  </si>
  <si>
    <t>V6.8.3</t>
  </si>
  <si>
    <t>Verify that SAML assertions are uniquely processed and used only once within the validity period to prevent replay attacks.</t>
  </si>
  <si>
    <t>No SAML used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</si>
  <si>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</si>
  <si>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</si>
  <si>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used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</si>
  <si>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</si>
  <si>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</si>
  <si>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</si>
  <si>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</si>
  <si>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NFR03, SDR03</t>
  </si>
  <si>
    <t>V7.1.2</t>
  </si>
  <si>
    <t>Verify that the documentation defines how many concurrent (parallel) sessions are allowed for one account as well as the intended behaviors and actions to be taken when the maximum number of active sessions is reached.</t>
  </si>
  <si>
    <t>Should specify if multiple concurrent JWTs are permitted</t>
  </si>
  <si>
    <t>NFR03, SDR03b</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</si>
  <si>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</si>
  <si>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</si>
  <si>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federated identity / SSO used</t>
  </si>
  <si>
    <t>V7.2</t>
  </si>
  <si>
    <t>Fundamental Session Management Security</t>
  </si>
  <si>
    <t>V7.2.1</t>
  </si>
  <si>
    <t>Verify that the application performs all session token verification using a trusted, backend service.</t>
  </si>
  <si>
    <t>SDR01, SDR03</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</si>
  <si>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</si>
  <si>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</si>
  <si>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</si>
  <si>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</si>
  <si>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Coffeetaria uses self-contained JWTs, not reference tokens</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</si>
  <si>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</si>
  <si>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</si>
  <si>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</si>
  <si>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</si>
  <si>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</si>
  <si>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</si>
  <si>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jwt.expiration=3600 (1h absolute timeout) enforced via JwtTokenUtil.validateToken()</t>
  </si>
  <si>
    <t>NFR03</t>
  </si>
  <si>
    <t>V7.3.2</t>
  </si>
  <si>
    <t>Verify that there is an absolute maximum session lifetime such that re-authentication is enforced according to risk analysis and documented security decisions.</t>
  </si>
  <si>
    <t>JWT expiry value documented in application.properties; checked on every request</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</si>
  <si>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</si>
  <si>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</si>
  <si>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</si>
  <si>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</si>
  <si>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blocks token in TokenBlocklist; JwtRequestFilter checks blocklist on every request</t>
  </si>
  <si>
    <t>US03, SDR03, TC26</t>
  </si>
  <si>
    <t>V7.4.2</t>
  </si>
  <si>
    <t>Verify that the application terminates all active sessions when a user account is disabled or deleted (such as an employee leaving the company).</t>
  </si>
  <si>
    <t>US04 — deactivation must invalidate existing tokens</t>
  </si>
  <si>
    <t>US04, SDR03a</t>
  </si>
  <si>
    <t>V7.4.3</t>
  </si>
  <si>
    <t>Verify that the application gives the option to terminate all other active sessions after a successful change or removal of any authentication factor (including password change via reset or recovery and, if present, an MFA settings update).</t>
  </si>
  <si>
    <t>Not currently defined — gap if multiple concurrent sessions are allowed</t>
  </si>
  <si>
    <t>SDR03b</t>
  </si>
  <si>
    <t>V7.4.4</t>
  </si>
  <si>
    <t>Verify that all pages that require authentication have easy and visible access to logout functionality.</t>
  </si>
  <si>
    <t>REST API — no pages; logout endpoint must be documented and accessible</t>
  </si>
  <si>
    <t>V7.4.5</t>
  </si>
  <si>
    <t>Verify that application administrators are able to terminate active sessions for an individual user or for all users.</t>
  </si>
  <si>
    <t>Admin deactivation (US04) covers this partially</t>
  </si>
  <si>
    <t>US04, FR05</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</si>
  <si>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</si>
  <si>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</si>
  <si>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</si>
  <si>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</si>
  <si>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Password change should require current password — SDR05</t>
  </si>
  <si>
    <t>V7.5.2</t>
  </si>
  <si>
    <t>Verify that users are able to view and (having authenticated again with at least one factor) terminate any or all currently active sessions.</t>
  </si>
  <si>
    <t>Not currently defined — gap</t>
  </si>
  <si>
    <t>SDR03</t>
  </si>
  <si>
    <t>V7.5.3</t>
  </si>
  <si>
    <t>Verify that the application requires further authentication with at least one factor or secondary verification before performing highly sensitive transactions or operations.</t>
  </si>
  <si>
    <t>Not defined — e.g., role change or account deletion could require step-up auth</t>
  </si>
  <si>
    <t>SDR02</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</si>
  <si>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</si>
  <si>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</si>
  <si>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</si>
  <si>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</si>
  <si>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No federated identity / IdP used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</si>
  <si>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</si>
  <si>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</si>
  <si>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</si>
  <si>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</si>
  <si>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</si>
  <si>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</si>
  <si>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SecurityConfig enforces per-endpoint RBAC for ADMIN/EMPLOYEE/CLIENT on all routes</t>
  </si>
  <si>
    <t>SDR02, NFR04</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</si>
  <si>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</si>
  <si>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</si>
  <si>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SDR09, SDR17</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</si>
  <si>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</si>
  <si>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</si>
  <si>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No contextual/adaptive authorization (e.g., time-of-day, IP-based) in Coffeetaria</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</si>
  <si>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</si>
  <si>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</si>
  <si>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adaptive authorization used</t>
  </si>
  <si>
    <t>V8.2</t>
  </si>
  <si>
    <t>General Authorization Design</t>
  </si>
  <si>
    <t>V8.2.1</t>
  </si>
  <si>
    <t>Verify that the application ensures that function-level access is restricted to consumers with explicit permissions.</t>
  </si>
  <si>
    <t>In Progress</t>
  </si>
  <si>
    <t>SecurityConfig RBAC complete; service-layer @PreAuthorize partially implemented — gap: full service RBAC pending</t>
  </si>
  <si>
    <t>SDR02, NFR04, TC09, TC10</t>
  </si>
  <si>
    <t>V8.2.2</t>
  </si>
  <si>
    <t>Verify that the application ensures that data-specific access is restricted to consumers with explicit permissions to specific data items to mitigate insecure direct object reference (IDOR) and broken object level authorization (BOLA).</t>
  </si>
  <si>
    <t>US12, SDR02, TC12</t>
  </si>
  <si>
    <t>V8.2.3</t>
  </si>
  <si>
    <t>Verify that the application ensures that field-level access is restricted to consumers with explicit permissions to specific fields to mitigate broken object property level authorization (BOPLA).</t>
  </si>
  <si>
    <t>SDR09, TC07</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</si>
  <si>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</si>
  <si>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</si>
  <si>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adaptive/contextual authorization implemented</t>
  </si>
  <si>
    <t>V8.3</t>
  </si>
  <si>
    <t>Operation Level Authorization</t>
  </si>
  <si>
    <t>V8.3.1</t>
  </si>
  <si>
    <t>Verify that the application enforces authorization rules at a trusted service layer and doesn't rely on controls that an untrusted consumer could manipulate, such as client-side JavaScript.</t>
  </si>
  <si>
    <t>SDR02, US11</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</si>
  <si>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</si>
  <si>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</si>
  <si>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US04, US06, SDR03a</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</si>
  <si>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</si>
  <si>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</si>
  <si>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US11, US12, SDR02</t>
  </si>
  <si>
    <t>V8.4</t>
  </si>
  <si>
    <t>Other Authorization Considerations</t>
  </si>
  <si>
    <t>V8.4.1</t>
  </si>
  <si>
    <t>Verify that multi-tenant applications use cross-tenant controls to ensure consumer operations will never affect tenants with which they do not have permissions to interact.</t>
  </si>
  <si>
    <t>Coffeetaria is single-tenant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</si>
  <si>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</si>
  <si>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</si>
  <si>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 endpoints should require strong auth; consider step-up for destructive operations</t>
  </si>
  <si>
    <t>V9.1</t>
  </si>
  <si>
    <t>Token source and integrity</t>
  </si>
  <si>
    <t>V9.1.1</t>
  </si>
  <si>
    <t>Verify that self-contained tokens are validated using their digital signature or MAC to protect against tampering before accepting the token's contents.</t>
  </si>
  <si>
    <t>SDR01, SDR03, TC05</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</si>
  <si>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</si>
  <si>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</si>
  <si>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SDR01, TC05</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</si>
  <si>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</si>
  <si>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</si>
  <si>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SDR01, SDR18</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</si>
  <si>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</si>
  <si>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</si>
  <si>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</si>
  <si>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</si>
  <si>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JwtTokenUtil.isTokenExpired() validates exp claim; validateToken() called in JwtRequestFilter</t>
  </si>
  <si>
    <t>NFR03, SDR03, TC22</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</si>
  <si>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</si>
  <si>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</si>
  <si>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</si>
  <si>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</si>
  <si>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</si>
  <si>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</si>
  <si>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</si>
  <si>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</si>
  <si>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</si>
  <si>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</si>
  <si>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No OAuth used — self-contained JWT auth</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</si>
  <si>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</si>
  <si>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</si>
  <si>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No OAuth authorization server</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</si>
  <si>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</si>
  <si>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</si>
  <si>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</si>
  <si>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</si>
  <si>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No OAuth client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</si>
  <si>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</si>
  <si>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</si>
  <si>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</si>
  <si>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</si>
  <si>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No OAuth scopes</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</si>
  <si>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</si>
  <si>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</si>
  <si>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</si>
  <si>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</si>
  <si>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No OAuth resource server</t>
  </si>
  <si>
    <t>V10.3.2</t>
  </si>
  <si>
    <t>Verify that the resource server enforces authorization decisions based on claims from the access token that define delegated authorization. If claims such as 'sub', 'scope', and 'authorization_details' are present, they must be part of the decision.</t>
  </si>
  <si>
    <t>No OAuth</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</si>
  <si>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</si>
  <si>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</si>
  <si>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No OAuth — uses internal JWT with sub claim</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</si>
  <si>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</si>
  <si>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</si>
  <si>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</si>
  <si>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</si>
  <si>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</si>
  <si>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</si>
  <si>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</si>
  <si>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</si>
  <si>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Coffeetaria is not an OAuth Authorization Server</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</si>
  <si>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</si>
  <si>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</si>
  <si>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</si>
  <si>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</si>
  <si>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</si>
  <si>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</si>
  <si>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</si>
  <si>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</si>
  <si>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</si>
  <si>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</si>
  <si>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</si>
  <si>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</si>
  <si>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</si>
  <si>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</si>
  <si>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</si>
  <si>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</si>
  <si>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</si>
  <si>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</si>
  <si>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</si>
  <si>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</si>
  <si>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</si>
  <si>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</si>
  <si>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</si>
  <si>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</si>
  <si>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</si>
  <si>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</si>
  <si>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</si>
  <si>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</si>
  <si>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</si>
  <si>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</si>
  <si>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</si>
  <si>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</si>
  <si>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</si>
  <si>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</si>
  <si>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No OpenID Connect used</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</si>
  <si>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</si>
  <si>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</si>
  <si>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</si>
  <si>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</si>
  <si>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</si>
  <si>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</si>
  <si>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</si>
  <si>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</si>
  <si>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</si>
  <si>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</si>
  <si>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</si>
  <si>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</si>
  <si>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Coffeetaria is not an OpenID Provider</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</si>
  <si>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</si>
  <si>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</si>
  <si>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</si>
  <si>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</si>
  <si>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</si>
  <si>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</si>
  <si>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No OAuth consent flow</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</si>
  <si>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</si>
  <si>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</si>
  <si>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</si>
  <si>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</si>
  <si>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V12.1</t>
  </si>
  <si>
    <t>General TLS Security Guidance</t>
  </si>
  <si>
    <t>V12.1.1</t>
  </si>
  <si>
    <t>Verify that only the latest recommended versions of the TLS protocol are enabled, such as TLS 1.2 and TLS 1.3. The latest version of the TLS protocol must be the preferred option.</t>
  </si>
  <si>
    <t>nginx reverse proxy configured with TLS 1.2+; deploy/nginx/conf.d/cafeteria.conf</t>
  </si>
  <si>
    <t>NFR01, SDR10</t>
  </si>
  <si>
    <t>V12.1.2</t>
  </si>
  <si>
    <t>Verify that only recommended cipher suites are enabled, with the strongest cipher suites set as preferred. L3 applications must only support cipher suites which provide forward secrecy.</t>
  </si>
  <si>
    <t>SDR10a</t>
  </si>
  <si>
    <t>V12.1.3</t>
  </si>
  <si>
    <t>Verify that the application validates that mTLS client certificates are trusted before using the certificate identity for authentication or authorization.</t>
  </si>
  <si>
    <t>Coffeetaria does not use mutual TLS authentication</t>
  </si>
  <si>
    <t>V12.1.4</t>
  </si>
  <si>
    <t>Verify that proper certification revocation, such as Online Certificate Status Protocol (OCSP) Stapling, is enabled and configured.</t>
  </si>
  <si>
    <t>Infrastructure concern — relevant for production deployment</t>
  </si>
  <si>
    <t>V12.1.5</t>
  </si>
  <si>
    <t>Verify that Encrypted Client Hello (ECH) is enabled in the application's TLS settings to prevent exposure of sensitive metadata, such as the Server Name Indication (SNI), during TLS handshake processes.</t>
  </si>
  <si>
    <t>Infrastructure/CDN level concern; out of scope for application layer</t>
  </si>
  <si>
    <t>V12.2</t>
  </si>
  <si>
    <t>HTTPS Communication with External Facing Services</t>
  </si>
  <si>
    <t>V12.2.1</t>
  </si>
  <si>
    <t>Verify that TLS is used for all connectivity between a client and external facing, HTTP-based services, and does not fall back to insecure or unencrypted communications.</t>
  </si>
  <si>
    <t>nginx port 80 redirects all traffic to HTTPS 443; app exposes only internal port</t>
  </si>
  <si>
    <t>SDR10, NFR01</t>
  </si>
  <si>
    <t>V12.2.2</t>
  </si>
  <si>
    <t>Verify that external facing services use publicly trusted TLS certificates.</t>
  </si>
  <si>
    <t>Production deployment must use a CA-signed certificate (not self-signed)</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</si>
  <si>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</si>
  <si>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</si>
  <si>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</si>
  <si>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</si>
  <si>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App → PostgreSQL connection must use TLS — gap tapado com SDR10b</t>
  </si>
  <si>
    <t>SDR10b</t>
  </si>
  <si>
    <t>V12.3.2</t>
  </si>
  <si>
    <t>Verify that TLS clients validate certificates received before communicating with a TLS server.</t>
  </si>
  <si>
    <t>Certificate validation must be enabled on the PostgreSQL JDBC connection</t>
  </si>
  <si>
    <t>V12.3.3</t>
  </si>
  <si>
    <t>Verify that TLS or another appropriate transport encryption mechanism used for all connectivity between internal, HTTP-based services within the application, and does not fall back to insecure or unencrypted communications.</t>
  </si>
  <si>
    <t>All Docker inter-service communication should use TLS or a secure overlay network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</si>
  <si>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</si>
  <si>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</si>
  <si>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Internal Docker certificates must be explicitly trusted; avoid skipping verification</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</si>
  <si>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</si>
  <si>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</si>
  <si>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App-to-DB authentication uses credentials (SDR18) — verify no IP-only trust</t>
  </si>
  <si>
    <t>SDR18, SDR10</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</si>
  <si>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</si>
  <si>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</si>
  <si>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</si>
  <si>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</si>
  <si>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Document: client → API, API → PostgreSQL, API → filesystem</t>
  </si>
  <si>
    <t>SDR10, SDR10b</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</si>
  <si>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</si>
  <si>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</si>
  <si>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Define connection pool limits for PostgreSQL</t>
  </si>
  <si>
    <t>NFR07</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</si>
  <si>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</si>
  <si>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</si>
  <si>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Connection pool timeouts, retry policies for PostgreSQL</t>
  </si>
  <si>
    <t>NFR07, NFR08</t>
  </si>
  <si>
    <t>V13.1.4</t>
  </si>
  <si>
    <t>Verify that the application's documentation defines the secrets that are critical for the security of the application and a schedule for rotating them, based on the organization's threat model and business requirements.</t>
  </si>
  <si>
    <t>Gap tapado com SDR18a — JWT key, DB credentials rotation schedule</t>
  </si>
  <si>
    <t>SDR18a, SDR01a</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</si>
  <si>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</si>
  <si>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</si>
  <si>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</si>
  <si>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</si>
  <si>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App → PostgreSQL uses dedicated service credentials (SDR18)</t>
  </si>
  <si>
    <t>SDR18</t>
  </si>
  <si>
    <t>V13.2.2</t>
  </si>
  <si>
    <t>Verify that communications between backend application components, including local or operating system services, APIs, middleware, and data layers, are performed with accounts assigned the least necessary privileges.</t>
  </si>
  <si>
    <t>App → DB connection must use TLS — SDR10b</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</si>
  <si>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</si>
  <si>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</si>
  <si>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</si>
  <si>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</si>
  <si>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Gap tapado com SDR18d — only PostgreSQL and filesystem allowed</t>
  </si>
  <si>
    <t>SDR18d</t>
  </si>
  <si>
    <t>V13.2.5</t>
  </si>
  <si>
    <t>Verify that the web or application server is configured with an allowlist of resources or systems to which the server can send requests or load data or files from.</t>
  </si>
  <si>
    <t>SSRF prevention — covered by SDR18d</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</si>
  <si>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</si>
  <si>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</si>
  <si>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Connection parameters must match documented architecture</t>
  </si>
  <si>
    <t>SDR10b, SDR18</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</si>
  <si>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</si>
  <si>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</si>
  <si>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</si>
  <si>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</si>
  <si>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SDR18, SDR18a</t>
  </si>
  <si>
    <t>V13.3.2</t>
  </si>
  <si>
    <t>Verify that access to secret assets adheres to the principle of least privilege.</t>
  </si>
  <si>
    <t>DB user should have only the permissions required (no superuser) — SDR15</t>
  </si>
  <si>
    <t>SDR15, SDR18</t>
  </si>
  <si>
    <t>V13.3.3</t>
  </si>
  <si>
    <t>Verify that all cryptographic operations are performed using an isolated security module (such as a vault or hardware security module) to securely manage and protect key material from exposure outside of the security module.</t>
  </si>
  <si>
    <t>Out of scope for this project phase — standard Java crypto libraries used</t>
  </si>
  <si>
    <t>V13.3.4</t>
  </si>
  <si>
    <t>Verify that secrets are configured to expire and be rotated based on the application's documentation.</t>
  </si>
  <si>
    <t>Gap tapado com SDR18a — rotation schedule must be documented and enforced</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</si>
  <si>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</si>
  <si>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</si>
  <si>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</si>
  <si>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</si>
  <si>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.dockerignore created: excludes .git, target/, .env*, .vscode/, .idea/</t>
  </si>
  <si>
    <t>SDR18b</t>
  </si>
  <si>
    <t>V13.4.2</t>
  </si>
  <si>
    <t>Verify that debug modes are disabled for all components in production environments to prevent exposure of debugging features and information leakage.</t>
  </si>
  <si>
    <t>GlobalExceptionHandler catch-all returns generic message; stack trace logged internally via SLF4J</t>
  </si>
  <si>
    <t>SDR12, SDR18c</t>
  </si>
  <si>
    <t>V13.4.3</t>
  </si>
  <si>
    <t>Verify that web servers do not expose directory listings to clients unless explicitly intended.</t>
  </si>
  <si>
    <t>Spring Boot REST API does not serve static directory listings</t>
  </si>
  <si>
    <t>V13.4.4</t>
  </si>
  <si>
    <t>Verify that using the HTTP TRACE method is not supported in production environments, to avoid potential information leakage.</t>
  </si>
  <si>
    <t>SDR11</t>
  </si>
  <si>
    <t>V13.4.5</t>
  </si>
  <si>
    <t>Verify that documentation (such as for internal APIs) and monitoring endpoints are not exposed unless explicitly intended.</t>
  </si>
  <si>
    <t>application.properties: management.endpoints.web.exposure.include=health; SecurityConfig blocks /actuator/**</t>
  </si>
  <si>
    <t>SDR18c</t>
  </si>
  <si>
    <t>V13.4.6</t>
  </si>
  <si>
    <t>Verify that the application does not expose detailed version information of backend components.</t>
  </si>
  <si>
    <t>Remove X-Powered-By, Server headers; suppress Spring Boot version in responses</t>
  </si>
  <si>
    <t>SDR11, SDR12</t>
  </si>
  <si>
    <t>V13.4.7</t>
  </si>
  <si>
    <t>Verify that the web tier is configured to only serve files with specific file extensions to prevent unintentional information, configuration, and source code leakage.</t>
  </si>
  <si>
    <t>REST API — no static file serving beyond CSV reports (controlled by SDR13)</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</si>
  <si>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</si>
  <si>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</si>
  <si>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</si>
  <si>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</si>
  <si>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Must classify: credentials, JWT tokens, order data, balance, CSV reports, PII</t>
  </si>
  <si>
    <t>SDR16, SDR17</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</si>
  <si>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</si>
  <si>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</si>
  <si>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e.g., passwords → hashed (NFR02); tokens → blocklisted on logout (SDR03a); reports → access-controlled (SDR14)</t>
  </si>
  <si>
    <t>NFR02, SDR03a, SDR14</t>
  </si>
  <si>
    <t>V14.2</t>
  </si>
  <si>
    <t>General Data Protection</t>
  </si>
  <si>
    <t>V14.2.1</t>
  </si>
  <si>
    <t>Verify that sensitive data is only sent to the server in the HTTP message body or header fields, and that the URL and query string do not contain sensitive information, such as an API key or session token.</t>
  </si>
  <si>
    <t>SDR16a</t>
  </si>
  <si>
    <t>V14.2.2</t>
  </si>
  <si>
    <t>Verify that the application prevents sensitive data from being cached in server components, such as load balancers and application caches, or ensures that the data is securely purged after use.</t>
  </si>
  <si>
    <t>SDR16b</t>
  </si>
  <si>
    <t>V14.2.3</t>
  </si>
  <si>
    <t>Verify that defined sensitive data is not sent to untrusted parties (e.g., user trackers) to prevent unwanted collection of data outside of the application's control.</t>
  </si>
  <si>
    <t>Coffeetaria has no third-party analytics or tracking integrations</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</si>
  <si>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</si>
  <si>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</si>
  <si>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Covered collectively by SDR16, SDR16c, NFR02, SDR19, SDR20</t>
  </si>
  <si>
    <t>SDR16, SDR16c, NFR02</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</si>
  <si>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</si>
  <si>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</si>
  <si>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</si>
  <si>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</si>
  <si>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</si>
  <si>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</si>
  <si>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Gap tapado com SDR16c — define retention for orders, audit logs, CSV reports</t>
  </si>
  <si>
    <t>SDR16c</t>
  </si>
  <si>
    <t>V14.2.8</t>
  </si>
  <si>
    <t>Verify that sensitive information is removed from the metadata of user-submitted files unless storage is consented to by the user.</t>
  </si>
  <si>
    <t>Coffeetaria does not accept user-submitted files with metadata</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</si>
  <si>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</si>
  <si>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</si>
  <si>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</si>
  <si>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</si>
  <si>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REST API — no browser storage; JWT stored client-side by the API consumer</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</si>
  <si>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</si>
  <si>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</si>
  <si>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</si>
  <si>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</si>
  <si>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REST API — no browser localStorage/sessionStorage/cookies used</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</si>
  <si>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</si>
  <si>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</si>
  <si>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</si>
  <si>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</si>
  <si>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Gap tapado com SDR22b — Critical: 24h, High: 7d, Medium: 30d</t>
  </si>
  <si>
    <t>SDR22b, SDR23</t>
  </si>
  <si>
    <t>V15.1.2</t>
  </si>
  <si>
    <t>Verify that an inventory catalog, such as software bill of materials (SBOM), is maintained of all third-party libraries in use, including verifying that components come from pre-defined, trusted, and continually maintained repositories.</t>
  </si>
  <si>
    <t>Gap tapado com SDR22a — generate SBOM via Maven/Gradle plugin</t>
  </si>
  <si>
    <t>SDR22a, SDR22</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</si>
  <si>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</si>
  <si>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</si>
  <si>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Report generation (FR22) and order listing are candidates — document in architecture</t>
  </si>
  <si>
    <t>FR22, NFR06</t>
  </si>
  <si>
    <t>V15.1.4</t>
  </si>
  <si>
    <t>Verify that application documentation highlights third-party libraries which are considered to be "risky components".</t>
  </si>
  <si>
    <t>e.g., JWT library, file I/O libraries — flag in dependency review (SDR24)</t>
  </si>
  <si>
    <t>SDR24</t>
  </si>
  <si>
    <t>V15.1.5</t>
  </si>
  <si>
    <t>Verify that application documentation highlights parts of the application where "dangerous functionality" is being used.</t>
  </si>
  <si>
    <t>File operations (FR22/FR23), admin report endpoints — already documented in threat model</t>
  </si>
  <si>
    <t>FR22, FR23, SDR13</t>
  </si>
  <si>
    <t>V15.2</t>
  </si>
  <si>
    <t>Security Architecture and Dependencies</t>
  </si>
  <si>
    <t>V15.2.1</t>
  </si>
  <si>
    <t>Verify that the application only contains components which have not breached the documented update and remediation time frames.</t>
  </si>
  <si>
    <t>OWASP Dependency-Check 12.2.0 in CI; failBuildOnCVSS=7; NVD_API_KEY via env</t>
  </si>
  <si>
    <t>V15.2.2</t>
  </si>
  <si>
    <t>Verify that the application has implemented defenses against loss of availability due to functionality which is time-consuming or resource-demanding, based on the documented security decisions and strategies for this.</t>
  </si>
  <si>
    <t>Report generation must have timeout and size limits to prevent DoS</t>
  </si>
  <si>
    <t>FR22, NFR07</t>
  </si>
  <si>
    <t>V15.2.3</t>
  </si>
  <si>
    <t>Verify that the production environment only includes functionality that is required for the application to function, and does not expose extraneous functionality such as test code, sample snippets, and development functionality.</t>
  </si>
  <si>
    <t>Multi-stage Docker build (maven:3.9-alpine → eclipse-temurin:17-jre-alpine); non-root USER appuser</t>
  </si>
  <si>
    <t>SDR24a</t>
  </si>
  <si>
    <t>V15.2.4</t>
  </si>
  <si>
    <t>Verify that third-party components and all of their transitive dependencies are included from the expected repository, whether internally owned or an external source, and that there is no risk of a dependency confusion attack.</t>
  </si>
  <si>
    <t>SDR22, SDR22a</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</si>
  <si>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</si>
  <si>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</si>
  <si>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SDR13, SDR14</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</si>
  <si>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</si>
  <si>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</si>
  <si>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</si>
  <si>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</si>
  <si>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</si>
  <si>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</si>
  <si>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SSRF protection — SDR18d; Spring RestTemplate/WebClient must disable auto-redirect</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</si>
  <si>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</si>
  <si>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</si>
  <si>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SDR07 — use explicit DTOs; Jackson @JsonIgnoreProperties(ignoreUnknown = false)</t>
  </si>
  <si>
    <t>SDR07</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</si>
  <si>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</si>
  <si>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</si>
  <si>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ForwardedHeaderFilter + X-Forwarded-For extraction in AuthController for real IP in audit logs</t>
  </si>
  <si>
    <t>SDR24b, SDR19</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</si>
  <si>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</si>
  <si>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</si>
  <si>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</si>
  <si>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</si>
  <si>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Java backend — no JavaScript code</t>
  </si>
  <si>
    <t>V15.3.7</t>
  </si>
  <si>
    <t>Verify that the application has defenses against HTTP parameter pollution attacks, particularly if the application framework makes no distinction about the source of request parameters (query string, body parameters, cookies, or header fields).</t>
  </si>
  <si>
    <t>Spring Boot must reject duplicate parameters; validate with strict schema (SDR06)</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</si>
  <si>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</si>
  <si>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</si>
  <si>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</si>
  <si>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</si>
  <si>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</si>
  <si>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</si>
  <si>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TC39, SDR06</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</si>
  <si>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</si>
  <si>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</si>
  <si>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NFR09</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</si>
  <si>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</si>
  <si>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</si>
  <si>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</si>
  <si>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</si>
  <si>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</si>
  <si>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</si>
  <si>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Must document: auth logs, audit logs, error logs, access logs — gap tapado com SDR19a</t>
  </si>
  <si>
    <t>SDR19a, NFR13</t>
  </si>
  <si>
    <t>V16.2</t>
  </si>
  <si>
    <t>General Logging</t>
  </si>
  <si>
    <t>V16.2.1</t>
  </si>
  <si>
    <t>Verify that each log entry includes necessary metadata (such as when, where, who, what) that would allow for a detailed investigation of the timeline when an event happens.</t>
  </si>
  <si>
    <t>NFR13, SDR19a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</si>
  <si>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</si>
  <si>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</si>
  <si>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Gap tapado com SDR19a — NTP sync + UTC timestamps mandatory</t>
  </si>
  <si>
    <t>SDR19a</t>
  </si>
  <si>
    <t>V16.2.3</t>
  </si>
  <si>
    <t>Verify that the application only stores or broadcasts logs to the files and services that are documented in the log inventory.</t>
  </si>
  <si>
    <t>Log destinations must be listed in the logging inventory (SDR19a)</t>
  </si>
  <si>
    <t>SDR19a, SDR21</t>
  </si>
  <si>
    <t>V16.2.4</t>
  </si>
  <si>
    <t>Verify that logs can be read and correlated by the log processor that is in use, preferably by using a common logging format.</t>
  </si>
  <si>
    <t>Structured JSON logs (SDR19a) are machine-readable and correlatable</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</si>
  <si>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</si>
  <si>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</si>
  <si>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Removed BCrypt hash println from CustomUserDetailsService; HIBP errors use SLF4J warn</t>
  </si>
  <si>
    <t>SDR16, SDR16c</t>
  </si>
  <si>
    <t>V16.3</t>
  </si>
  <si>
    <t>Security Events</t>
  </si>
  <si>
    <t>V16.3.1</t>
  </si>
  <si>
    <t>Verify that all authentication operations are logged, including successful and unsuccessful attempts. Additional metadata, such as the type of authentication or factors used, should also be collected.</t>
  </si>
  <si>
    <t>SecurityAuditLogger: IP, timestamp, username, method, path logged for all auth events</t>
  </si>
  <si>
    <t>SDR19, TC32</t>
  </si>
  <si>
    <t>V16.3.2</t>
  </si>
  <si>
    <t>Verify that failed authorization attempts are logged. For L3, this must include logging all authorization decisions, including logging when sensitive data is accessed (without logging the sensitive data itself).</t>
  </si>
  <si>
    <t>logAccessDenied() called in SecurityConfig accessDeniedHandler and GlobalExceptionHandler</t>
  </si>
  <si>
    <t>SDR20a</t>
  </si>
  <si>
    <t>V16.3.3</t>
  </si>
  <si>
    <t>Verify that the application logs the security events that are defined in the documentation and also logs attempts to bypass the security controls, such as input validation, business logic, and anti-automation.</t>
  </si>
  <si>
    <t>SDR20, SDR20a</t>
  </si>
  <si>
    <t>V16.3.4</t>
  </si>
  <si>
    <t>Verify that the application logs unexpected errors and security control failures such as backend TLS failures.</t>
  </si>
  <si>
    <t>SDR20b</t>
  </si>
  <si>
    <t>V16.4</t>
  </si>
  <si>
    <t>Log Protection</t>
  </si>
  <si>
    <t>V16.4.1</t>
  </si>
  <si>
    <t>Verify that all logging components appropriately encode data to prevent log injection.</t>
  </si>
  <si>
    <t>SecurityAuditLogger.sanitize() strips \r\n\t from all logged values</t>
  </si>
  <si>
    <t>SDR19b</t>
  </si>
  <si>
    <t>V16.4.2</t>
  </si>
  <si>
    <t>Verify that logs are protected from unauthorized access and cannot be modified.</t>
  </si>
  <si>
    <t>Covered by SDR21 — append-only or external sink</t>
  </si>
  <si>
    <t>SDR21</t>
  </si>
  <si>
    <t>V16.4.3</t>
  </si>
  <si>
    <t>Verify that logs are securely transmitted to a logically separate system for analysis, detection, alerting, and escalation. The aim is to ensure that if the application is breached, the logs are not compromised.</t>
  </si>
  <si>
    <t>Logs should be forwarded to an external SIEM or log aggregator (e.g., ELK, Loki)</t>
  </si>
  <si>
    <t>SDR21, SDR21a</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</si>
  <si>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</si>
  <si>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</si>
  <si>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</si>
  <si>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</si>
  <si>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GlobalExceptionHandler generic handler returns "An unexpected error occurred" without ex.getMessage()</t>
  </si>
  <si>
    <t>SDR12, SDR21a</t>
  </si>
  <si>
    <t>V16.5.2</t>
  </si>
  <si>
    <t>Verify that the application continues to operate securely when external resource access fails, for example, by using patterns such as circuit breakers or graceful degradation.</t>
  </si>
  <si>
    <t>NFR08</t>
  </si>
  <si>
    <t>V16.5.3</t>
  </si>
  <si>
    <t>Verify that the application fails gracefully and securely, including when an exception occurs, preventing fail-open conditions such as processing a transaction despite errors resulting from validation logic.</t>
  </si>
  <si>
    <t>@RestControllerAdvice GlobalExceptionHandler handles all exception types</t>
  </si>
  <si>
    <t>SDR21a</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</si>
  <si>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</si>
  <si>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</si>
  <si>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GlobalExceptionHandler with @RestControllerAdvice catch-all Exception handler</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</si>
  <si>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</si>
  <si>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</si>
  <si>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</si>
  <si>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</si>
  <si>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No TURN server — Coffeetaria has no WebRTC</t>
  </si>
  <si>
    <t>V17.1.2</t>
  </si>
  <si>
    <t>Verify that the Traversal Using Relays around NAT (TURN) service is not susceptible to resource exhaustion when legitimate users attempt to open a large number of ports on the TURN server.</t>
  </si>
  <si>
    <t>No TURN server used</t>
  </si>
  <si>
    <t>V17.2</t>
  </si>
  <si>
    <t>Media</t>
  </si>
  <si>
    <t>V17.2.1</t>
  </si>
  <si>
    <t>Verify that the key for the Datagram Transport Layer Security (DTLS) certificate is managed and protected based on the documented policy for management of cryptographic keys.</t>
  </si>
  <si>
    <t>No media server or DTLS used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</si>
  <si>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</si>
  <si>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</si>
  <si>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used</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</si>
  <si>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</si>
  <si>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</si>
  <si>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real-time media protocol used</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</si>
  <si>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</si>
  <si>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</si>
  <si>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</si>
  <si>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</si>
  <si>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</si>
  <si>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</si>
  <si>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</si>
  <si>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</si>
  <si>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No recording mechanisms used</t>
  </si>
  <si>
    <t>V17.2.8</t>
  </si>
  <si>
    <t>Verify that the Datagram Transport Layer Security (DTLS) certificate is checked against the Session Description Protocol (SDP) fingerprint attribute, terminating the media stream if the check fails, to ensure the authenticity of the media stream.</t>
  </si>
  <si>
    <t>No media server or SDP used</t>
  </si>
  <si>
    <t>V17.3</t>
  </si>
  <si>
    <t>Signaling</t>
  </si>
  <si>
    <t>V17.3.1</t>
  </si>
  <si>
    <t>Verify that the signaling server is able to continue processing legitimate incoming signaling messages during a flood attack. This should be achieved by implementing rate limiting at the signaling level.</t>
  </si>
  <si>
    <t>No signaling server used</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</si>
  <si>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</si>
  <si>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</si>
  <si>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Spring Data JPA / Hibernate em todos os repositórios; queries parametrizadas, sem SQL nativo nem concatenação. Protege contra SQL injection (SDR08, TC17).</t>
  </si>
  <si>
    <t>Sem execução de comandos do sistema operativo; operações de ficheiros feitas exclusivamente via java.nio.file.Files (sem Runtime.exec nem ProcessBuilder).</t>
  </si>
  <si>
    <t>Regex @Pattern em FileWriteRequestDTO e DirectoryCreateRequestDTO reescritos para forma linear no Sprint 2, eliminando backtracking catastrófico (ReDoS). Ver Deliverables/phase2/sprint2/security_findings.md.</t>
  </si>
  <si>
    <t>Input validado contra regras de negócio: @Valid/@Pattern/@Size nas DTOs e regras de domínio (data futura em Purchase/Menu, prato tem de estar no menu do dia, saldo suficiente).</t>
  </si>
  <si>
    <t>Validação server-side na fronteira (@Valid no controller) e nas entidades de domínio (User.deductBalance, construtores Purchase/Menu); nunca apenas no cliente.</t>
  </si>
  <si>
    <t>Combinações coerentes validadas: prato tem de pertencer ao menu da data; tipos de prato (meat/fish/vegetarian) validados no construtor de Menu.</t>
  </si>
  <si>
    <t>PurchaseService anotado @Transactional — operações de negócio completam-se na totalidade ou revertem (atomicidade). Coberto pelo teste PurchaseServiceTest.createPurchase_insufficientBalance_isRejectedAndNothingPersisted (TC39).</t>
  </si>
  <si>
    <t>Limite de saldo aplicado às compras; outros limites de quantidade ainda não.</t>
  </si>
  <si>
    <t>Rate limiting no login (SimpleRateLimiter); ainda não estendido a compras/menu/ficheiros.</t>
  </si>
  <si>
    <t>Regras de validação documentadas em analysis.md (FRs), SDRs e design.md.</t>
  </si>
  <si>
    <t>Validação lógica/contextual documentada nos FRs e regras de domínio.</t>
  </si>
  <si>
    <t>Limites de negócio documentados (FR17a-c saldo; regras de menu).</t>
  </si>
  <si>
    <t>HSTS aplicado em duas camadas: nginx (Strict-Transport-Security: max-age=31536000; includeSubDomains) e Spring Security (httpStrictTransportSecurity, includeSubDomains, maxAge 1 ano).</t>
  </si>
  <si>
    <t>CORS com allowlist de origens via property app.cors.allowed-origins (CorsConfiguration.setAllowedOrigins); nunca Access-Control-Allow-Origin: *.</t>
  </si>
  <si>
    <t>Spring Security envia X-Content-Type-Options: nosniff por default (não desativado na configuração de headers).</t>
  </si>
  <si>
    <t>API stateless: CSRF desativado por design; proteção contra request forgery garantida pela exigência do header Authorization: Bearer (header não-safelisted por CORS), conforme alternativa aceite pelo requisito.</t>
  </si>
  <si>
    <t>A aplicação não depende do mecanismo de CORS preflight para proteger funcionalidade sensível (usa o Bearer token, ver V3.5.1); condição do requisito não se aplica.</t>
  </si>
  <si>
    <t>Funcionalidade com alteração de estado usa POST/PUT/DELETE (@PostMapping/@PutMapping/@DeleteMapping); GET apenas para leitura.</t>
  </si>
  <si>
    <t>@RestController + Jackson definem Content-Type: application/json (UTF-8 por default para JSON) em todas as respostas com corpo.</t>
  </si>
  <si>
    <t>App confia em X-Forwarded-Proto para tratar o pedido como seguro atrás do nginx (app.security.require-https). Assenta no pressuposto de deployment de que a app só é alcançável via nginx; ainda não há allowlist de proxies de confiança.</t>
  </si>
  <si>
    <t>Spring MVC devolve 405 Method Not Allowed para métodos não mapeados; cada endpoint declara explicitamente os métodos suportados.</t>
  </si>
  <si>
    <t>Tomcat embebido determina os limites das mensagens HTTP/1.1 e aplica defesas contra request smuggling; tráfego termina em HTTP/1.1 via nginx.</t>
  </si>
  <si>
    <t>Spring Boot/Tomcat geram o Content-Length de forma consistente com o framing do corpo da resposta.</t>
  </si>
  <si>
    <t>Comunicação em HTTP/1.1 (nginx -&gt; app); o framework não aceita header fields connection-specific abusivos como Transfer-Encoding em multiplexação.</t>
  </si>
  <si>
    <t>Tomcat rejeita sequências CR/LF/CRLF em nomes e valores de header, prevenindo header injection.</t>
  </si>
  <si>
    <t>Único pedido outbound é para a API HIBP com prefixo SHA-1 de 5 caracteres (comprimento fixo, não controlado pelo utilizador); URIs e headers limitados.</t>
  </si>
  <si>
    <t>Ficheiros gerados/escritos são guardados num basePath dedicado (FileSystemService) que não é web root nem servido estaticamente; o conteúdo é devolvido em JSON (FileContentResponseDTO) através de um controller, nunca executado como código server-side.</t>
  </si>
  <si>
    <t>A aplicação não serve ficheiros como download nem define Content-Disposition; o conteúdo é devolvido no corpo JSON e o path é validado por @Pattern. Não há nomes de ficheiro colocados em headers de resposta.</t>
  </si>
  <si>
    <t>Rate limiting / anti-automation documentado em SDR04 e implementado por SimpleRateLimiter (5 tentativas / 15 min por username e por IP), prevenindo brute force e credential stuffing sem lockout malicioso permanente.</t>
  </si>
  <si>
    <t>Utilizador muda a própria password via PUT /api/users/me (UserService.updateUser), com validação de policy + verificação HIBP.</t>
  </si>
  <si>
    <t>PasswordPolicyService valida apenas comprimento (min 12, max 128); não há regras de composição que bloqueiem caracteres ou exijam classes específicas.</t>
  </si>
  <si>
    <t>Não há expiração periódica forçada de passwords; a password mantém-se válida até ser rodada pelo utilizador ou detetada como comprometida (HIBP).</t>
  </si>
  <si>
    <t>Verificação contra passwords em data breaches (HaveIBeenPwnedClient, k-anonymity SHA-1) aplicada tanto no registo (createUser) como na mudança (updateUser).</t>
  </si>
  <si>
    <t>Caminho de autenticação único e documentado (login username/password -&gt; JWT); não existem pathways de autenticação não documentados.</t>
  </si>
  <si>
    <t>A aplicação não gera passwords iniciais nem códigos de ativação automaticamente; a password é fornecida no pedido (UserDTO) ao criar a conta.</t>
  </si>
  <si>
    <t>Tempo de vida da sessão documentado: jwt.expiration=3600 (1h, timeout absoluto) em application.properties e NFR03; aplicado em cada pedido via JwtTokenUtil.validateToken().</t>
  </si>
  <si>
    <t>Verificação do token feita no backend de confiança: assinatura JWT (HS256) validada server-side no JwtRequestFilter/JwtTokenUtil em cada pedido (SDR01, SDR03).</t>
  </si>
  <si>
    <t>Tokens auto-contidos (JWT assinado HS256), gerados dinamicamente a cada login; não se usam segredos/chaves de API estáticos como token de sessão.</t>
  </si>
  <si>
    <t>Novo JWT emitido a cada autenticação; por ser token stateless auto-contido, o token anterior não é explicitamente terminado (mantém-se válido até expirar ou ser colocado no TokenBlocklist via logout).</t>
  </si>
  <si>
    <t>Regras de acesso ao nível de campo documentadas em SDR09/SDR17 e implementadas em UserService.convertToDTO (password hash e ID interno nunca devolvidos); documentação completa ainda em curso.</t>
  </si>
  <si>
    <t>Acesso a dados específicos restrito por ownership: PurchaseController compara clientId/clientUsername com o utilizador autenticado (auth.getName()) e devolve 403 se não corresponder; previne IDOR/BOLA. Admin tem acesso total.</t>
  </si>
  <si>
    <t>Acesso ao nível de campo (BOPLA): UserService.convertToDTO devolve apenas externalId/username/type/balance; password hash e ID numérico interno nunca são expostos.</t>
  </si>
  <si>
    <t>Autorização aplicada em camada de confiança server-side: SecurityConfig (RBAC por rota) + @PreAuthorize + verificação de ownership pelo principal autenticado, nunca por valores manipuláveis pelo cliente.</t>
  </si>
  <si>
    <t>JwtRequestFilter recarrega o utilizador a cada pedido, pelo que mudanças de role têm efeito no pedido seguinte; desativação de conta ainda não é aplicada de imediato (filtro não verifica isEnabled()).</t>
  </si>
  <si>
    <t>Decisão de acesso baseada no subject autenticado (JWT sub / auth.getName()), não em IDs fornecidos pelo cliente nem em tokens de intermediário; serviço único sem chamadas machine-to-machine.</t>
  </si>
  <si>
    <t>JwtTokenUtil verifica o MAC HS256 via Jwts.parserBuilder().setSigningKey(key).parseClaimsJws() antes de aceitar os claims; assinatura inválida é rejeitada. (RS256 seria melhoria, não requisito.)</t>
  </si>
  <si>
    <t>Algoritmo único HS256 com chave HMAC fixa; o parser JJWT rejeita alg:none e qualquer assinatura que não corresponda à chave. Só algoritmo simétrico, sem risco de key confusion.</t>
  </si>
  <si>
    <t>Chave de validação obtida de fonte pré-configurada (jwt.secret via hmacShaKeyFor), nunca derivada do conteúdo/headers do token; JJWT com chave estática ignora jku/x5u/jwk.</t>
  </si>
  <si>
    <t>Existe um único tipo de token auto-contido (access token com sub + role), usado apenas para autorização; não há ID tokens nem outros tipos que possam ser confundidos.</t>
  </si>
  <si>
    <t>Deployment de serviço único com segredo HS256 dedicado e não partilhado; um token não pode ser válido noutro serviço, pelo que a restrição de audience (aud) não se aplica.</t>
  </si>
  <si>
    <t>Um único emissor e uma única audiência; a mesma chave não é usada para audiences distintas.</t>
  </si>
  <si>
    <t>Gestão da chave JWT via jwt.secret (env var) documentada em SDR01a; política completa de ciclo de vida/rotação ainda por formalizar.</t>
  </si>
  <si>
    <t>Apenas implementações validadas: JJWT, Spring Security (BCrypt), Java JCE e OpenSSL (nginx TLS). Sem cripto custom.</t>
  </si>
  <si>
    <t>Agilidade parcial: PasswordEncoder é um bean substituível, mas o algoritmo JWT está fixo em HS256 (signWith HS256); sem mecanismo de troca em runtime.</t>
  </si>
  <si>
    <t>Primitivas com &gt;=128 bits de segurança: HS256 com chave &gt;=256 bits (hmacShaKeyFor exige-o), BCrypt, e AES via TLS.</t>
  </si>
  <si>
    <t>Operações em tempo constante via bibliotecas: BCryptPasswordEncoder.matches() e verificação HMAC do JJWT; sem comparações de segredos custom.</t>
  </si>
  <si>
    <t>Módulos cripto falham de forma segura (JJWT/Spring/JCE); GlobalExceptionHandler devolve erro genérico sem expor chaves ou algoritmos.</t>
  </si>
  <si>
    <t>Não há cifragem simétrica ao nível da aplicação (sem uso de Cipher/ECB); TLS é tratado pelo nginx.</t>
  </si>
  <si>
    <t>nginx usa TLS 1.2/1.3 mas sem ssl_ciphers explícito; TLS 1.3 é AEAD, mas o default de TLS 1.2 ainda permite cifras CBC — lista por restringir a AEAD.</t>
  </si>
  <si>
    <t>Não há dados cifrados em repouso na aplicação.</t>
  </si>
  <si>
    <t>Não há cifragem simétrica na aplicação, logo não há nonces/IVs a gerir.</t>
  </si>
  <si>
    <t>Funções de hash aprovadas: SHA-256 (HMAC HS256) e BCrypt; sem MD5. SHA-1 usado apenas no protocolo k-anonymity da API HIBP, não como controlo de segurança.</t>
  </si>
  <si>
    <t>Passwords guardadas com BCryptPasswordEncoder (função de hashing de password aprovada, key-stretching), conforme NFR02.</t>
  </si>
  <si>
    <t>Assinatura JWT usa HS256 (SHA-256, 256 bits) — resistente a colisões e com bit-length adequado.</t>
  </si>
  <si>
    <t>A aplicação não deriva chaves criptográficas a partir de passwords (além do hashing BCrypt coberto em V11.4.2).</t>
  </si>
  <si>
    <t>A aplicação não gera segredos não-adivinháveis (sem JTI, códigos de ativação ou tokens de reset); os externalId UUID são identificadores, não segredos, e a autorização baseia-se em ownership.</t>
  </si>
  <si>
    <t>Geração de aleatoriedade assenta em java.security.SecureRandom (ex.: salts BCrypt), concebido para uso concorrente sob carga.</t>
  </si>
  <si>
    <t>Algoritmo aprovado para assinatura/verificação (HMAC-SHA256); a aplicação não gera chaves RSA/EC vulneráveis.</t>
  </si>
  <si>
    <t>Troca de chaves via TLS 1.2/1.3 no nginx (ECDHE); sem DH estático fraco nem cifras export.</t>
  </si>
  <si>
    <t>Tokens e segredos não são registados em logs (V16.2.5); zerar passwords da memória não é feito (limitação de String em Java).</t>
  </si>
  <si>
    <t>nginx tem TLS 1.2/1.3 ativo, mas NÃO define ssl_ciphers explícito (usa o default). TLS 1.3 garante forward secrecy, mas o default de TLS 1.2 ainda permite cifras CBC e sem forward secrecy. Falta pinar a lista a cipher suites recomendados com forward secrecy.</t>
  </si>
  <si>
    <t>A ligação à BD não usa credenciais default: PostgreSQL configurado com utilizador dedicado 'cafeteria' (POSTGRES_USER/SPRING_DATASOURCE_USERNAME), não postgres/postgres nem admin/admin.</t>
  </si>
  <si>
    <t>Segredos fornecidos por env vars (JWT_SECRET, SPRING_DATASOURCE_PASSWORD); .env/.env* excluídos por .gitignore e .dockerignore. Defaults dev-only presentes em application.properties/docker-compose (marcados 'must-be-overridden-in-production'); falta solução de secrets management dedicada.</t>
  </si>
  <si>
    <t>Método HTTP TRACE desativado por default no Tomcat embebido do Spring Boot (allowTrace=false).</t>
  </si>
  <si>
    <t>Dados sensíveis enviados só no corpo HTTP (login via @RequestBody) ou header (JWT em Authorization: Bearer); nunca em URL ou query string.</t>
  </si>
  <si>
    <t>Spring Security define Cache-Control: no-cache, no-store, max-age=0, must-revalidate (headers.cacheControl) em todas as respostas, evitando caching em caches/proxies.</t>
  </si>
  <si>
    <t>Respostas REST devolvem Content-Type correto (application/json) com no-store global; ficheiros inexistentes devolvem 404 (FileController.notFound), prevenindo Web Cache Deception.</t>
  </si>
  <si>
    <t>Apenas os dados mínimos são devolvidos: UserService.convertToDTO exclui password hash e ID interno, expondo só externalId/username/type/balance.</t>
  </si>
  <si>
    <t>Cache-Control: no-store enviado em todas as respostas via Spring Security cacheControl, impedindo caching de dados sensíveis no browser.</t>
  </si>
  <si>
    <t>Dependências só do Maven Central; pom.xml sem &lt;repositories&gt; custom nem mirrors não oficiais — sem risco de dependency confusion.</t>
  </si>
  <si>
    <t>Funcionalidade 'perigosa' (ficheiros) protegida: allowlist @Pattern (SDR13), confinamento de path resolveSafe a diretório dedicado (SDR14) e execução em container não-root.</t>
  </si>
  <si>
    <t>Apenas o subconjunto necessário de campos é devolvido: UserService.convertToDTO exclui password hash e ID interno.</t>
  </si>
  <si>
    <t>Java é fortemente tipado; sem type juggling. Desserialização tipada via DTOs e comparações estritas.</t>
  </si>
  <si>
    <t>Estado partilhado em beans singleton é thread-safe: SimpleRateLimiter (ConcurrentHashMap + métodos synchronized) e TokenBlocklist (ConcurrentHashMap).</t>
  </si>
  <si>
    <t>Verificação de saldo e dedução são atómicas via @Transactional em PurchaseService (TOCTOU evitado); coberto por TC39.</t>
  </si>
  <si>
    <t>Sem locks ao nível da aplicação (sem risco de lock inversion); a concorrência sobre dados é gerida por transações de BD.</t>
  </si>
  <si>
    <t>O pool de threads do Tomcat embebido é limitado (bounded), prevenindo thread starvation por excesso de pedidos.</t>
  </si>
  <si>
    <t>Cada evento de segurança inclui metadata who/what/where: SecurityAuditLogger regista event, username, path, IP (getRemoteAddr) e IDs relevantes; o 'when' vem do timestamp do logback.</t>
  </si>
  <si>
    <t>Tentativas de bypass de anti-automação (rate limit) e autorização (logAccessDenied) são registadas; logging explícito de bypass de input validation/business logic ainda parcial.</t>
  </si>
  <si>
    <t>Erros inesperados são registados: GlobalExceptionHandler faz log.error("Unexpected error", ex) com o stack trace completo ao devolver mensagem genérica.</t>
  </si>
  <si>
    <t>Falha de recurso externo (ex.: PostgreSQL indisponível) faz fail-closed via GlobalExceptionHandler (sem fail-open); ainda sem circuit breaker / graceful degradation.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</si>
</sst>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0"/>
      <color rgb="FFCCCCCC"/>
      <name val="Segoe UI"/>
      <family val="2"/>
    </font>
    <font>
      <sz val="10"/>
      <color rgb="FF000000"/>
      <name val="Segoe UI"/>
      <family val="2"/>
    </font>
    <font>
      <u/>
      <sz val="11"/>
      <color rgb="FF0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1" fillId="0" borderId="0" xfId="0" applyFont="1"/>
    <xf numFmtId="0" fontId="10" fillId="0" borderId="0" xfId="0" applyFont="1"/>
    <xf numFmtId="0" fontId="12" fillId="7" borderId="1" xfId="0" applyFont="1" applyFill="1" applyBorder="1" applyAlignment="1">
      <alignment horizontal="center" vertical="top"/>
    </xf>
    <xf numFmtId="0" fontId="12" fillId="0" borderId="0" xfId="0" applyFont="1"/>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0.125</c:v>
                </c:pt>
                <c:pt idx="1">
                  <c:v>0.5</c:v>
                </c:pt>
                <c:pt idx="2">
                  <c:v>0.5</c:v>
                </c:pt>
                <c:pt idx="3">
                  <c:v>0.5</c:v>
                </c:pt>
                <c:pt idx="4">
                  <c:v>0.5</c:v>
                </c:pt>
                <c:pt idx="5">
                  <c:v>0.61538461538461542</c:v>
                </c:pt>
                <c:pt idx="6">
                  <c:v>0.5</c:v>
                </c:pt>
                <c:pt idx="7">
                  <c:v>0.75</c:v>
                </c:pt>
                <c:pt idx="8">
                  <c:v>1</c:v>
                </c:pt>
                <c:pt idx="9">
                  <c:v>0</c:v>
                </c:pt>
                <c:pt idx="10">
                  <c:v>0.33333333333333331</c:v>
                </c:pt>
                <c:pt idx="11">
                  <c:v>0.66666666666666663</c:v>
                </c:pt>
                <c:pt idx="12">
                  <c:v>1</c:v>
                </c:pt>
                <c:pt idx="13">
                  <c:v>0.5</c:v>
                </c:pt>
                <c:pt idx="14">
                  <c:v>0.66666666666666663</c:v>
                </c:pt>
                <c:pt idx="15" formatCode="General">
                  <c:v>0</c:v>
                </c:pt>
                <c:pt idx="16" formatCode="General">
                  <c:v>0</c:v>
                </c:pt>
              </c:numCache>
            </c:numRef>
          </c:val>
          <c:extLst>
            <c:ext xmlns:c16="http://schemas.microsoft.com/office/drawing/2014/chart" uri="{C3380CC4-5D6E-409C-BE32-E72D297353CC}">
              <c16:uniqueId val="{00000000-7BED-4339-95F5-48325DB6EBCD}"/>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0.2857142857142857</c:v>
                </c:pt>
                <c:pt idx="2">
                  <c:v>9.0909090909090912E-2</c:v>
                </c:pt>
                <c:pt idx="3">
                  <c:v>0.125</c:v>
                </c:pt>
                <c:pt idx="4">
                  <c:v>0.4</c:v>
                </c:pt>
                <c:pt idx="5">
                  <c:v>0.18181818181818182</c:v>
                </c:pt>
                <c:pt idx="6">
                  <c:v>0.25</c:v>
                </c:pt>
                <c:pt idx="7">
                  <c:v>0.33333333333333331</c:v>
                </c:pt>
                <c:pt idx="8">
                  <c:v>0</c:v>
                </c:pt>
                <c:pt idx="9">
                  <c:v>0</c:v>
                </c:pt>
                <c:pt idx="10">
                  <c:v>0.45454545454545453</c:v>
                </c:pt>
                <c:pt idx="11">
                  <c:v>0</c:v>
                </c:pt>
                <c:pt idx="12">
                  <c:v>0.33333333333333331</c:v>
                </c:pt>
                <c:pt idx="13">
                  <c:v>0.2857142857142857</c:v>
                </c:pt>
                <c:pt idx="14">
                  <c:v>0.3</c:v>
                </c:pt>
                <c:pt idx="15">
                  <c:v>0.5</c:v>
                </c:pt>
                <c:pt idx="16">
                  <c:v>0</c:v>
                </c:pt>
              </c:numCache>
            </c:numRef>
          </c:val>
          <c:extLst>
            <c:ext xmlns:c16="http://schemas.microsoft.com/office/drawing/2014/chart" uri="{C3380CC4-5D6E-409C-BE32-E72D297353CC}">
              <c16:uniqueId val="{00000001-7BED-4339-95F5-48325DB6EBCD}"/>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0.33333333333333331</c:v>
                </c:pt>
                <c:pt idx="1">
                  <c:v>0</c:v>
                </c:pt>
                <c:pt idx="2">
                  <c:v>0</c:v>
                </c:pt>
                <c:pt idx="3">
                  <c:v>0.83333333333333337</c:v>
                </c:pt>
                <c:pt idx="4">
                  <c:v>0</c:v>
                </c:pt>
                <c:pt idx="5">
                  <c:v>8.3333333333333329E-2</c:v>
                </c:pt>
                <c:pt idx="6">
                  <c:v>0</c:v>
                </c:pt>
                <c:pt idx="7">
                  <c:v>0.16666666666666666</c:v>
                </c:pt>
                <c:pt idx="8" formatCode="General">
                  <c:v>0</c:v>
                </c:pt>
                <c:pt idx="9">
                  <c:v>0</c:v>
                </c:pt>
                <c:pt idx="10">
                  <c:v>0.4</c:v>
                </c:pt>
                <c:pt idx="11">
                  <c:v>0</c:v>
                </c:pt>
                <c:pt idx="12">
                  <c:v>0</c:v>
                </c:pt>
                <c:pt idx="13">
                  <c:v>0.5</c:v>
                </c:pt>
                <c:pt idx="14">
                  <c:v>0.75</c:v>
                </c:pt>
                <c:pt idx="15">
                  <c:v>1</c:v>
                </c:pt>
              </c:numCache>
            </c:numRef>
          </c:val>
          <c:extLst>
            <c:ext xmlns:c16="http://schemas.microsoft.com/office/drawing/2014/chart" uri="{C3380CC4-5D6E-409C-BE32-E72D297353CC}">
              <c16:uniqueId val="{00000002-7BED-4339-95F5-48325DB6EBCD}"/>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6.6666666666666666E-2</c:v>
                </c:pt>
                <c:pt idx="1">
                  <c:v>0.30769230769230771</c:v>
                </c:pt>
                <c:pt idx="2">
                  <c:v>0.16129032258064516</c:v>
                </c:pt>
                <c:pt idx="3">
                  <c:v>0.4375</c:v>
                </c:pt>
                <c:pt idx="4">
                  <c:v>0.30769230769230771</c:v>
                </c:pt>
                <c:pt idx="5">
                  <c:v>0.27659574468085107</c:v>
                </c:pt>
                <c:pt idx="6">
                  <c:v>0.31578947368421051</c:v>
                </c:pt>
                <c:pt idx="7">
                  <c:v>0.38461538461538464</c:v>
                </c:pt>
                <c:pt idx="8">
                  <c:v>0.5714285714285714</c:v>
                </c:pt>
                <c:pt idx="9">
                  <c:v>0</c:v>
                </c:pt>
                <c:pt idx="10">
                  <c:v>0.41666666666666669</c:v>
                </c:pt>
                <c:pt idx="11">
                  <c:v>0.16666666666666666</c:v>
                </c:pt>
                <c:pt idx="12">
                  <c:v>0.23809523809523808</c:v>
                </c:pt>
                <c:pt idx="13">
                  <c:v>0.38461538461538464</c:v>
                </c:pt>
                <c:pt idx="14">
                  <c:v>0.52380952380952384</c:v>
                </c:pt>
                <c:pt idx="15">
                  <c:v>0.52941176470588236</c:v>
                </c:pt>
                <c:pt idx="16">
                  <c:v>0</c:v>
                </c:pt>
              </c:numCache>
            </c:numRef>
          </c:val>
          <c:extLst>
            <c:ext xmlns:c16="http://schemas.microsoft.com/office/drawing/2014/chart" uri="{C3380CC4-5D6E-409C-BE32-E72D297353CC}">
              <c16:uniqueId val="{00000003-7BED-4339-95F5-48325DB6EBCD}"/>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1">
    <wetp:webextensionref xmlns:r="http://schemas.openxmlformats.org/officeDocument/2006/relationships" r:id="rId2"/>
  </wetp:taskpane>
</wetp:taskpanes>
</file>

<file path=xl/webextensions/webextension1.xml><?xml version="1.0" encoding="utf-8"?>
<we:webextension xmlns:we="http://schemas.microsoft.com/office/webextensions/webextension/2010/11" id="{E0DCE81B-575E-43B1-86AD-27767B838BD3}">
  <we:reference id="11d7cf85-ae5a-43b8-bc58-1e1a151cce24" version="1.0.0.1" store="EXCatalog" storeType="EXCatalog"/>
  <we:alternateReferences>
    <we:reference id="WA200010725" version="1.0.0.1" store="pt-PT" storeType="OMEX"/>
  </we:alternateReferences>
  <we:properties>
    <we:property name="claude.fileId" value="&quot;e6831ce1-3bbf-4325-9c8d-2238c0479a70&quot;"/>
  </we:properties>
  <we:bindings/>
  <we:snapshot xmlns:r="http://schemas.openxmlformats.org/officeDocument/2006/relationships"/>
</we:webextension>
</file>

<file path=xl/webextensions/webextension2.xml><?xml version="1.0" encoding="utf-8"?>
<we:webextension xmlns:we="http://schemas.microsoft.com/office/webextensions/webextension/2010/11" id="{423A19AB-7547-4125-9F55-A3015B071A82}">
  <we:reference id="44446093-b465-4d6c-a6dc-5faf6de98677" version="3.0.0.4" store="EXCatalog" storeType="EXCatalog"/>
  <we:alternateReferences>
    <we:reference id="WA200005271" version="3.0.0.4" store="pt-PT"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s>_xldudf_AI_WEB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42578125" defaultRowHeight="15" x14ac:dyDescent="0.25"/>
  <cols>
    <col min="1" max="1" width="34" customWidth="1"/>
    <col min="2" max="13" width="11" customWidth="1"/>
  </cols>
  <sheetData>
    <row r="1" spans="1:16" ht="36" customHeight="1" x14ac:dyDescent="0.25">
      <c r="A1" s="28" t="s">
        <v>85</v>
      </c>
      <c r="B1" s="29"/>
      <c r="C1" s="29"/>
      <c r="D1" s="29"/>
      <c r="E1" s="29"/>
      <c r="F1" s="29"/>
      <c r="G1" s="29"/>
      <c r="H1" s="29"/>
      <c r="I1" s="29"/>
      <c r="J1" s="29"/>
      <c r="K1" s="29"/>
      <c r="L1" s="29"/>
      <c r="M1" s="29"/>
      <c r="N1" s="29"/>
      <c r="O1" s="29"/>
      <c r="P1" s="29"/>
    </row>
    <row r="2" spans="1:16" ht="20.100000000000001" customHeight="1" x14ac:dyDescent="0.25">
      <c r="A2" s="31"/>
      <c r="B2" s="29"/>
      <c r="C2" s="29"/>
      <c r="D2" s="29"/>
      <c r="E2" s="29"/>
      <c r="F2" s="29"/>
      <c r="G2" s="29"/>
      <c r="H2" s="29"/>
      <c r="I2" s="29"/>
      <c r="J2" s="29"/>
      <c r="K2" s="29"/>
      <c r="L2" s="29"/>
      <c r="M2" s="29"/>
      <c r="N2" s="29"/>
      <c r="O2" s="29"/>
      <c r="P2" s="29"/>
    </row>
    <row r="3" spans="1:16" ht="18" customHeight="1" x14ac:dyDescent="0.25">
      <c r="A3" s="30"/>
      <c r="B3" s="29"/>
      <c r="C3" s="1"/>
      <c r="E3" s="1"/>
      <c r="G3" s="1"/>
      <c r="I3" s="1"/>
      <c r="K3" s="1"/>
      <c r="M3" s="1"/>
      <c r="O3" s="1"/>
    </row>
    <row r="5" spans="1:16" ht="32.1" customHeight="1" x14ac:dyDescent="0.25">
      <c r="A5" s="2" t="s">
        <v>86</v>
      </c>
      <c r="B5" s="2" t="s">
        <v>87</v>
      </c>
      <c r="C5" s="2" t="s">
        <v>88</v>
      </c>
      <c r="D5" s="2" t="s">
        <v>89</v>
      </c>
      <c r="E5" s="2" t="s">
        <v>90</v>
      </c>
      <c r="F5" s="2" t="s">
        <v>91</v>
      </c>
      <c r="G5" s="2" t="s">
        <v>92</v>
      </c>
      <c r="H5" s="2" t="s">
        <v>93</v>
      </c>
      <c r="I5" s="2" t="s">
        <v>94</v>
      </c>
      <c r="J5" s="2" t="s">
        <v>95</v>
      </c>
      <c r="K5" s="2" t="s">
        <v>96</v>
      </c>
      <c r="L5" s="2" t="s">
        <v>97</v>
      </c>
      <c r="M5" s="2" t="s">
        <v>98</v>
      </c>
    </row>
    <row r="6" spans="1:16" ht="18" customHeight="1" x14ac:dyDescent="0.25">
      <c r="A6" s="3" t="s">
        <v>99</v>
      </c>
      <c r="B6" s="4">
        <v>30</v>
      </c>
      <c r="C6" s="4">
        <v>8</v>
      </c>
      <c r="D6" s="4">
        <f>COUNTIFS('V1 - Encoding and Sanitization'!$F$2:$F$36,"Compliant",'V1 - Encoding and Sanitization'!$E$2:$E$36,1)</f>
        <v>1</v>
      </c>
      <c r="E6" s="5">
        <f t="shared" ref="E6:E20" si="0">IF(C6=0,"",D6/C6)</f>
        <v>0.125</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1</v>
      </c>
      <c r="K6" s="5">
        <f t="shared" ref="K6:K13" si="2">IF(I6=0,"",J6/I6)</f>
        <v>0.33333333333333331</v>
      </c>
      <c r="L6" s="4">
        <f>COUNTIF('V1 - Encoding and Sanitization'!$F$2:$F$36,"Compliant")</f>
        <v>2</v>
      </c>
      <c r="M6" s="5">
        <f t="shared" ref="M6:M22" si="3">IF(B6=0,"",L6/B6)</f>
        <v>6.6666666666666666E-2</v>
      </c>
    </row>
    <row r="7" spans="1:16" ht="18" customHeight="1" x14ac:dyDescent="0.25">
      <c r="A7" s="6" t="s">
        <v>100</v>
      </c>
      <c r="B7" s="7">
        <v>13</v>
      </c>
      <c r="C7" s="7">
        <v>4</v>
      </c>
      <c r="D7" s="7">
        <f>COUNTIFS('V2 - Validation and Business Lo'!$F$2:$F$18,"Compliant",'V2 - Validation and Business Lo'!$E$2:$E$18,1)</f>
        <v>2</v>
      </c>
      <c r="E7" s="8">
        <f t="shared" si="0"/>
        <v>0.5</v>
      </c>
      <c r="F7" s="7">
        <v>7</v>
      </c>
      <c r="G7" s="7">
        <f>COUNTIFS('V2 - Validation and Business Lo'!$F$2:$F$18,"Compliant",'V2 - Validation and Business Lo'!$E$2:$E$18,2)</f>
        <v>2</v>
      </c>
      <c r="H7" s="8">
        <f t="shared" si="1"/>
        <v>0.2857142857142857</v>
      </c>
      <c r="I7" s="7">
        <v>2</v>
      </c>
      <c r="J7" s="7">
        <f>COUNTIFS('V2 - Validation and Business Lo'!$F$2:$F$18,"Compliant",'V2 - Validation and Business Lo'!$E$2:$E$18,3)</f>
        <v>0</v>
      </c>
      <c r="K7" s="8">
        <f t="shared" si="2"/>
        <v>0</v>
      </c>
      <c r="L7" s="7">
        <f>COUNTIF('V2 - Validation and Business Lo'!$F$2:$F$18,"Compliant")</f>
        <v>4</v>
      </c>
      <c r="M7" s="8">
        <f t="shared" si="3"/>
        <v>0.30769230769230771</v>
      </c>
    </row>
    <row r="8" spans="1:16" ht="18" customHeight="1" x14ac:dyDescent="0.25">
      <c r="A8" s="3" t="s">
        <v>101</v>
      </c>
      <c r="B8" s="4">
        <v>31</v>
      </c>
      <c r="C8" s="4">
        <v>8</v>
      </c>
      <c r="D8" s="4">
        <f>COUNTIFS('V3 - Web Frontend Security'!$F$2:$F$39,"Compliant",'V3 - Web Frontend Security'!$E$2:$E$39,1)</f>
        <v>4</v>
      </c>
      <c r="E8" s="5">
        <f t="shared" si="0"/>
        <v>0.5</v>
      </c>
      <c r="F8" s="4">
        <v>11</v>
      </c>
      <c r="G8" s="4">
        <f>COUNTIFS('V3 - Web Frontend Security'!$F$2:$F$39,"Compliant",'V3 - Web Frontend Security'!$E$2:$E$39,2)</f>
        <v>1</v>
      </c>
      <c r="H8" s="5">
        <f t="shared" si="1"/>
        <v>9.0909090909090912E-2</v>
      </c>
      <c r="I8" s="4">
        <v>12</v>
      </c>
      <c r="J8" s="4">
        <f>COUNTIFS('V3 - Web Frontend Security'!$F$2:$F$39,"Compliant",'V3 - Web Frontend Security'!$E$2:$E$39,3)</f>
        <v>0</v>
      </c>
      <c r="K8" s="5">
        <f t="shared" si="2"/>
        <v>0</v>
      </c>
      <c r="L8" s="4">
        <f>COUNTIF('V3 - Web Frontend Security'!$F$2:$F$39,"Compliant")</f>
        <v>5</v>
      </c>
      <c r="M8" s="5">
        <f t="shared" si="3"/>
        <v>0.16129032258064516</v>
      </c>
    </row>
    <row r="9" spans="1:16" ht="18" customHeight="1" x14ac:dyDescent="0.25">
      <c r="A9" s="6" t="s">
        <v>102</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5</v>
      </c>
      <c r="K9" s="8">
        <f t="shared" si="2"/>
        <v>0.83333333333333337</v>
      </c>
      <c r="L9" s="7">
        <f>COUNTIF('V4 - API and Web Service'!$F$2:$F$21,"Compliant")</f>
        <v>7</v>
      </c>
      <c r="M9" s="8">
        <f t="shared" si="3"/>
        <v>0.4375</v>
      </c>
    </row>
    <row r="10" spans="1:16" ht="18" customHeight="1" x14ac:dyDescent="0.25">
      <c r="A10" s="3" t="s">
        <v>103</v>
      </c>
      <c r="B10" s="4">
        <v>13</v>
      </c>
      <c r="C10" s="4">
        <v>4</v>
      </c>
      <c r="D10" s="4">
        <f>COUNTIFS('V5 - File Handling'!$F$2:$F$18,"Compliant",'V5 - File Handling'!$E$2:$E$18,1)</f>
        <v>2</v>
      </c>
      <c r="E10" s="5">
        <f t="shared" si="0"/>
        <v>0.5</v>
      </c>
      <c r="F10" s="4">
        <v>5</v>
      </c>
      <c r="G10" s="4">
        <f>COUNTIFS('V5 - File Handling'!$F$2:$F$18,"Compliant",'V5 - File Handling'!$E$2:$E$18,2)</f>
        <v>2</v>
      </c>
      <c r="H10" s="5">
        <f t="shared" si="1"/>
        <v>0.4</v>
      </c>
      <c r="I10" s="4">
        <v>4</v>
      </c>
      <c r="J10" s="4">
        <f>COUNTIFS('V5 - File Handling'!$F$2:$F$18,"Compliant",'V5 - File Handling'!$E$2:$E$18,3)</f>
        <v>0</v>
      </c>
      <c r="K10" s="5">
        <f t="shared" si="2"/>
        <v>0</v>
      </c>
      <c r="L10" s="4">
        <f>COUNTIF('V5 - File Handling'!$F$2:$F$18,"Compliant")</f>
        <v>4</v>
      </c>
      <c r="M10" s="5">
        <f t="shared" si="3"/>
        <v>0.30769230769230771</v>
      </c>
    </row>
    <row r="11" spans="1:16" ht="18" customHeight="1" x14ac:dyDescent="0.25">
      <c r="A11" s="6" t="s">
        <v>104</v>
      </c>
      <c r="B11" s="7">
        <v>47</v>
      </c>
      <c r="C11" s="7">
        <v>13</v>
      </c>
      <c r="D11" s="7">
        <f>COUNTIFS('V6 - Authentication'!$F$2:$F$56,"Compliant",'V6 - Authentication'!$E$2:$E$56,1)</f>
        <v>8</v>
      </c>
      <c r="E11" s="8">
        <f t="shared" si="0"/>
        <v>0.61538461538461542</v>
      </c>
      <c r="F11" s="7">
        <v>22</v>
      </c>
      <c r="G11" s="7">
        <f>COUNTIFS('V6 - Authentication'!$F$2:$F$56,"Compliant",'V6 - Authentication'!$E$2:$E$56,2)</f>
        <v>4</v>
      </c>
      <c r="H11" s="8">
        <f t="shared" si="1"/>
        <v>0.18181818181818182</v>
      </c>
      <c r="I11" s="7">
        <v>12</v>
      </c>
      <c r="J11" s="7">
        <f>COUNTIFS('V6 - Authentication'!$F$2:$F$56,"Compliant",'V6 - Authentication'!$E$2:$E$56,3)</f>
        <v>1</v>
      </c>
      <c r="K11" s="8">
        <f t="shared" si="2"/>
        <v>8.3333333333333329E-2</v>
      </c>
      <c r="L11" s="7">
        <f>COUNTIF('V6 - Authentication'!$F$2:$F$56,"Compliant")</f>
        <v>13</v>
      </c>
      <c r="M11" s="8">
        <f t="shared" si="3"/>
        <v>0.27659574468085107</v>
      </c>
    </row>
    <row r="12" spans="1:16" ht="18" customHeight="1" x14ac:dyDescent="0.25">
      <c r="A12" s="3" t="s">
        <v>105</v>
      </c>
      <c r="B12" s="4">
        <v>19</v>
      </c>
      <c r="C12" s="4">
        <v>6</v>
      </c>
      <c r="D12" s="4">
        <f>COUNTIFS('V7 - Session Management'!$F$2:$F$26,"Compliant",'V7 - Session Management'!$E$2:$E$26,1)</f>
        <v>3</v>
      </c>
      <c r="E12" s="5">
        <f t="shared" si="0"/>
        <v>0.5</v>
      </c>
      <c r="F12" s="4">
        <v>12</v>
      </c>
      <c r="G12" s="4">
        <f>COUNTIFS('V7 - Session Management'!$F$2:$F$26,"Compliant",'V7 - Session Management'!$E$2:$E$26,2)</f>
        <v>3</v>
      </c>
      <c r="H12" s="5">
        <f t="shared" si="1"/>
        <v>0.25</v>
      </c>
      <c r="I12" s="4">
        <v>1</v>
      </c>
      <c r="J12" s="4">
        <f>COUNTIFS('V7 - Session Management'!$F$2:$F$26,"Compliant",'V7 - Session Management'!$E$2:$E$26,3)</f>
        <v>0</v>
      </c>
      <c r="K12" s="5">
        <f t="shared" si="2"/>
        <v>0</v>
      </c>
      <c r="L12" s="4">
        <f>COUNTIF('V7 - Session Management'!$F$2:$F$26,"Compliant")</f>
        <v>6</v>
      </c>
      <c r="M12" s="5">
        <f t="shared" si="3"/>
        <v>0.31578947368421051</v>
      </c>
    </row>
    <row r="13" spans="1:16" ht="18" customHeight="1" x14ac:dyDescent="0.25">
      <c r="A13" s="6" t="s">
        <v>106</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1</v>
      </c>
      <c r="K13" s="8">
        <f t="shared" si="2"/>
        <v>0.16666666666666666</v>
      </c>
      <c r="L13" s="7">
        <f>COUNTIF('V8 - Authorization'!$F$2:$F$18,"Compliant")</f>
        <v>5</v>
      </c>
      <c r="M13" s="8">
        <f t="shared" si="3"/>
        <v>0.38461538461538464</v>
      </c>
    </row>
    <row r="14" spans="1:16" ht="18" customHeight="1" x14ac:dyDescent="0.25">
      <c r="A14" s="3" t="s">
        <v>107</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108</v>
      </c>
      <c r="K14" s="4" t="s">
        <v>108</v>
      </c>
      <c r="L14" s="4">
        <f>COUNTIF('V9 - Self-contained Tokens'!$F$2:$F$10,"Compliant")</f>
        <v>4</v>
      </c>
      <c r="M14" s="5">
        <f t="shared" si="3"/>
        <v>0.5714285714285714</v>
      </c>
    </row>
    <row r="15" spans="1:16" ht="18" customHeight="1" x14ac:dyDescent="0.25">
      <c r="A15" s="6" t="s">
        <v>109</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110</v>
      </c>
      <c r="B16" s="4">
        <v>24</v>
      </c>
      <c r="C16" s="4">
        <v>3</v>
      </c>
      <c r="D16" s="4">
        <f>COUNTIFS('V11 - Cryptography'!$F$2:$F$32,"Compliant",'V11 - Cryptography'!$E$2:$E$32,1)</f>
        <v>1</v>
      </c>
      <c r="E16" s="5">
        <f t="shared" si="0"/>
        <v>0.33333333333333331</v>
      </c>
      <c r="F16" s="4">
        <v>11</v>
      </c>
      <c r="G16" s="4">
        <f>COUNTIFS('V11 - Cryptography'!$F$2:$F$32,"Compliant",'V11 - Cryptography'!$E$2:$E$32,2)</f>
        <v>5</v>
      </c>
      <c r="H16" s="5">
        <f t="shared" si="1"/>
        <v>0.45454545454545453</v>
      </c>
      <c r="I16" s="4">
        <v>10</v>
      </c>
      <c r="J16" s="4">
        <f>COUNTIFS('V11 - Cryptography'!$F$2:$F$32,"Compliant",'V11 - Cryptography'!$E$2:$E$32,3)</f>
        <v>4</v>
      </c>
      <c r="K16" s="5">
        <f t="shared" si="4"/>
        <v>0.4</v>
      </c>
      <c r="L16" s="4">
        <f>COUNTIF('V11 - Cryptography'!$F$2:$F$32,"Compliant")</f>
        <v>10</v>
      </c>
      <c r="M16" s="5">
        <f t="shared" si="3"/>
        <v>0.41666666666666669</v>
      </c>
    </row>
    <row r="17" spans="1:13" ht="18" customHeight="1" x14ac:dyDescent="0.25">
      <c r="A17" s="6" t="s">
        <v>111</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2</v>
      </c>
      <c r="M17" s="8">
        <f t="shared" si="3"/>
        <v>0.16666666666666666</v>
      </c>
    </row>
    <row r="18" spans="1:13" ht="18" customHeight="1" x14ac:dyDescent="0.25">
      <c r="A18" s="3" t="s">
        <v>112</v>
      </c>
      <c r="B18" s="4">
        <v>21</v>
      </c>
      <c r="C18" s="4">
        <v>1</v>
      </c>
      <c r="D18" s="4">
        <f>COUNTIFS('V13 - Configuration'!$F$2:$F$26,"Compliant",'V13 - Configuration'!$E$2:$E$26,1)</f>
        <v>1</v>
      </c>
      <c r="E18" s="5">
        <f t="shared" si="0"/>
        <v>1</v>
      </c>
      <c r="F18" s="4">
        <v>12</v>
      </c>
      <c r="G18" s="4">
        <f>COUNTIFS('V13 - Configuration'!$F$2:$F$26,"Compliant",'V13 - Configuration'!$E$2:$E$26,2)</f>
        <v>4</v>
      </c>
      <c r="H18" s="5">
        <f t="shared" si="1"/>
        <v>0.33333333333333331</v>
      </c>
      <c r="I18" s="4">
        <v>8</v>
      </c>
      <c r="J18" s="4">
        <f>COUNTIFS('V13 - Configuration'!$F$2:$F$26,"Compliant",'V13 - Configuration'!$E$2:$E$26,3)</f>
        <v>0</v>
      </c>
      <c r="K18" s="5">
        <f t="shared" si="4"/>
        <v>0</v>
      </c>
      <c r="L18" s="4">
        <f>COUNTIF('V13 - Configuration'!$F$2:$F$26,"Compliant")</f>
        <v>5</v>
      </c>
      <c r="M18" s="5">
        <f t="shared" si="3"/>
        <v>0.23809523809523808</v>
      </c>
    </row>
    <row r="19" spans="1:13" ht="18" customHeight="1" x14ac:dyDescent="0.25">
      <c r="A19" s="6" t="s">
        <v>113</v>
      </c>
      <c r="B19" s="7">
        <v>13</v>
      </c>
      <c r="C19" s="7">
        <v>2</v>
      </c>
      <c r="D19" s="7">
        <f>COUNTIFS('V14 - Data Protection'!$F$2:$F$17,"Compliant",'V14 - Data Protection'!$E$2:$E$17,1)</f>
        <v>1</v>
      </c>
      <c r="E19" s="8">
        <f t="shared" si="0"/>
        <v>0.5</v>
      </c>
      <c r="F19" s="7">
        <v>7</v>
      </c>
      <c r="G19" s="7">
        <f>COUNTIFS('V14 - Data Protection'!$F$2:$F$17,"Compliant",'V14 - Data Protection'!$E$2:$E$17,2)</f>
        <v>2</v>
      </c>
      <c r="H19" s="8">
        <f t="shared" si="1"/>
        <v>0.2857142857142857</v>
      </c>
      <c r="I19" s="7">
        <v>4</v>
      </c>
      <c r="J19" s="7">
        <f>COUNTIFS('V14 - Data Protection'!$F$2:$F$17,"Compliant",'V14 - Data Protection'!$E$2:$E$17,3)</f>
        <v>2</v>
      </c>
      <c r="K19" s="8">
        <f t="shared" si="4"/>
        <v>0.5</v>
      </c>
      <c r="L19" s="7">
        <f>COUNTIF('V14 - Data Protection'!$F$2:$F$17,"Compliant")</f>
        <v>5</v>
      </c>
      <c r="M19" s="8">
        <f t="shared" si="3"/>
        <v>0.38461538461538464</v>
      </c>
    </row>
    <row r="20" spans="1:13" ht="18" customHeight="1" x14ac:dyDescent="0.25">
      <c r="A20" s="3" t="s">
        <v>114</v>
      </c>
      <c r="B20" s="4">
        <v>21</v>
      </c>
      <c r="C20" s="4">
        <v>3</v>
      </c>
      <c r="D20" s="4">
        <f>COUNTIFS('V15 - Secure Coding and Archite'!$F$2:$F$26,"Compliant",'V15 - Secure Coding and Archite'!$E$2:$E$26,1)</f>
        <v>2</v>
      </c>
      <c r="E20" s="5">
        <f t="shared" si="0"/>
        <v>0.66666666666666663</v>
      </c>
      <c r="F20" s="4">
        <v>10</v>
      </c>
      <c r="G20" s="4">
        <f>COUNTIFS('V15 - Secure Coding and Archite'!$F$2:$F$26,"Compliant",'V15 - Secure Coding and Archite'!$E$2:$E$26,2)</f>
        <v>3</v>
      </c>
      <c r="H20" s="5">
        <f t="shared" si="1"/>
        <v>0.3</v>
      </c>
      <c r="I20" s="4">
        <v>8</v>
      </c>
      <c r="J20" s="4">
        <f>COUNTIFS('V15 - Secure Coding and Archite'!$F$2:$F$26,"Compliant",'V15 - Secure Coding and Archite'!$E$2:$E$26,3)</f>
        <v>6</v>
      </c>
      <c r="K20" s="5">
        <f t="shared" si="4"/>
        <v>0.75</v>
      </c>
      <c r="L20" s="4">
        <f>COUNTIF('V15 - Secure Coding and Archite'!$F$2:$F$26,"Compliant")</f>
        <v>11</v>
      </c>
      <c r="M20" s="5">
        <f t="shared" si="3"/>
        <v>0.52380952380952384</v>
      </c>
    </row>
    <row r="21" spans="1:13" ht="18" customHeight="1" x14ac:dyDescent="0.25">
      <c r="A21" s="6" t="s">
        <v>115</v>
      </c>
      <c r="B21" s="7">
        <v>17</v>
      </c>
      <c r="C21" s="7">
        <v>0</v>
      </c>
      <c r="D21" s="7" t="s">
        <v>108</v>
      </c>
      <c r="E21" s="7" t="s">
        <v>108</v>
      </c>
      <c r="F21" s="7">
        <v>16</v>
      </c>
      <c r="G21" s="7">
        <f>COUNTIFS('V16 - Security Logging and Erro'!$F$2:$F$23,"Compliant",'V16 - Security Logging and Erro'!$E$2:$E$23,2)</f>
        <v>8</v>
      </c>
      <c r="H21" s="8">
        <f t="shared" si="1"/>
        <v>0.5</v>
      </c>
      <c r="I21" s="7">
        <v>1</v>
      </c>
      <c r="J21" s="7">
        <f>COUNTIFS('V16 - Security Logging and Erro'!$F$2:$F$23,"Compliant",'V16 - Security Logging and Erro'!$E$2:$E$23,3)</f>
        <v>1</v>
      </c>
      <c r="K21" s="8">
        <f t="shared" si="4"/>
        <v>1</v>
      </c>
      <c r="L21" s="7">
        <f>COUNTIF('V16 - Security Logging and Erro'!$F$2:$F$23,"Compliant")</f>
        <v>9</v>
      </c>
      <c r="M21" s="8">
        <f t="shared" si="3"/>
        <v>0.52941176470588236</v>
      </c>
    </row>
    <row r="22" spans="1:13" ht="18" customHeight="1" x14ac:dyDescent="0.25">
      <c r="A22" s="3" t="s">
        <v>116</v>
      </c>
      <c r="B22" s="4">
        <v>12</v>
      </c>
      <c r="C22" s="4">
        <v>0</v>
      </c>
      <c r="D22" s="4" t="s">
        <v>108</v>
      </c>
      <c r="E22" s="4" t="s">
        <v>108</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1.95" customHeight="1" x14ac:dyDescent="0.25">
      <c r="A23" s="9" t="s">
        <v>117</v>
      </c>
      <c r="B23" s="10">
        <f>SUM(B6:B22)</f>
        <v>345</v>
      </c>
      <c r="C23" s="10">
        <f>SUM(C6:C22)</f>
        <v>70</v>
      </c>
      <c r="D23" s="10">
        <f>SUM(D6:D22)</f>
        <v>35</v>
      </c>
      <c r="E23" s="11">
        <f>IFERROR(AVERAGE(E6:E22),"")</f>
        <v>0.54380341880341876</v>
      </c>
      <c r="F23" s="10">
        <f>SUM(F6:F22)</f>
        <v>183</v>
      </c>
      <c r="G23" s="10">
        <f>SUM(G6:G22)</f>
        <v>36</v>
      </c>
      <c r="H23" s="11">
        <f>IFERROR(AVERAGE(H6:H22),"")</f>
        <v>0.20825693913929205</v>
      </c>
      <c r="I23" s="10">
        <f>SUM(I6:I22)</f>
        <v>92</v>
      </c>
      <c r="J23" s="10">
        <f>SUM(J6:J22)</f>
        <v>21</v>
      </c>
      <c r="K23" s="11">
        <f>IFERROR(AVERAGE(K6:K22),"")</f>
        <v>0.25416666666666665</v>
      </c>
      <c r="L23" s="10">
        <f>SUM(L6:L22)</f>
        <v>92</v>
      </c>
      <c r="M23" s="11">
        <f>IFERROR(AVERAGE(M6:M22),"")</f>
        <v>0.29932564844707688</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6"/>
  <sheetViews>
    <sheetView topLeftCell="C1" zoomScale="60" zoomScaleNormal="75" workbookViewId="0">
      <pane ySplit="1" topLeftCell="A9" activePane="bottomLeft" state="frozen"/>
      <selection pane="bottomLeft" activeCell="F28" sqref="F28"/>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7.95" customHeight="1" x14ac:dyDescent="0.25">
      <c r="A1" s="12" t="s">
        <v>0</v>
      </c>
      <c r="B1" s="12" t="s">
        <v>1</v>
      </c>
      <c r="C1" s="12" t="s">
        <v>2</v>
      </c>
      <c r="D1" s="12" t="s">
        <v>3</v>
      </c>
      <c r="E1" s="12" t="s">
        <v>4</v>
      </c>
      <c r="F1" s="12" t="s">
        <v>5</v>
      </c>
      <c r="G1" s="12" t="s">
        <v>6</v>
      </c>
      <c r="H1" s="12" t="s">
        <v>7</v>
      </c>
    </row>
    <row r="2" spans="1:13" ht="18" customHeight="1" x14ac:dyDescent="0.25">
      <c r="A2" s="13" t="s">
        <v>118</v>
      </c>
      <c r="B2" s="13" t="s">
        <v>119</v>
      </c>
      <c r="C2" s="13"/>
      <c r="D2" s="13"/>
      <c r="E2" s="13"/>
      <c r="F2" s="13"/>
      <c r="G2" s="13"/>
      <c r="H2" s="13"/>
    </row>
    <row r="3" spans="1:13" ht="30" customHeight="1" x14ac:dyDescent="0.25">
      <c r="A3" s="14" t="s">
        <v>118</v>
      </c>
      <c r="B3" s="14" t="s">
        <v>119</v>
      </c>
      <c r="C3" s="15" t="s">
        <v>120</v>
      </c>
      <c r="D3" s="16" t="s">
        <v>121</v>
      </c>
      <c r="E3" s="17">
        <v>2</v>
      </c>
      <c r="F3" s="18" t="s">
        <v>12</v>
      </c>
      <c r="G3" s="16" t="s">
        <v>122</v>
      </c>
      <c r="H3" s="24" t="s">
        <v>123</v>
      </c>
    </row>
    <row r="4" spans="1:13" ht="30" customHeight="1" x14ac:dyDescent="0.25">
      <c r="A4" s="19" t="s">
        <v>118</v>
      </c>
      <c r="B4" s="19" t="s">
        <v>119</v>
      </c>
      <c r="C4" s="20" t="s">
        <v>124</v>
      </c>
      <c r="D4" s="21" t="s">
        <v>125</v>
      </c>
      <c r="E4" s="17">
        <v>2</v>
      </c>
      <c r="F4" s="18" t="s">
        <v>12</v>
      </c>
      <c r="G4" s="24" t="s">
        <v>126</v>
      </c>
      <c r="H4" s="24" t="s">
        <v>127</v>
      </c>
    </row>
    <row r="5" spans="1:13" ht="18" customHeight="1" x14ac:dyDescent="0.25">
      <c r="A5" s="13" t="s">
        <v>128</v>
      </c>
      <c r="B5" s="13" t="s">
        <v>129</v>
      </c>
      <c r="C5" s="13"/>
      <c r="D5" s="13"/>
      <c r="E5" s="13"/>
      <c r="F5" s="13"/>
      <c r="G5" s="24"/>
      <c r="H5" s="13"/>
    </row>
    <row r="6" spans="1:13" ht="30" customHeight="1" x14ac:dyDescent="0.25">
      <c r="A6" s="14" t="s">
        <v>128</v>
      </c>
      <c r="B6" s="14" t="s">
        <v>129</v>
      </c>
      <c r="C6" s="15" t="s">
        <v>130</v>
      </c>
      <c r="D6" s="16" t="s">
        <v>131</v>
      </c>
      <c r="E6" s="22">
        <v>1</v>
      </c>
      <c r="F6" s="18" t="s">
        <v>20</v>
      </c>
      <c r="G6" s="24" t="s">
        <v>132</v>
      </c>
      <c r="H6" s="16"/>
    </row>
    <row r="7" spans="1:13" ht="30" customHeight="1" x14ac:dyDescent="0.25">
      <c r="A7" s="19" t="s">
        <v>128</v>
      </c>
      <c r="B7" s="19" t="s">
        <v>129</v>
      </c>
      <c r="C7" s="20" t="s">
        <v>133</v>
      </c>
      <c r="D7" s="21" t="s">
        <v>134</v>
      </c>
      <c r="E7" s="22">
        <v>1</v>
      </c>
      <c r="F7" s="18" t="s">
        <v>20</v>
      </c>
      <c r="G7" s="24" t="s">
        <v>135</v>
      </c>
      <c r="H7" s="21"/>
    </row>
    <row r="8" spans="1:13" ht="30" customHeight="1" x14ac:dyDescent="0.25">
      <c r="A8" s="14" t="s">
        <v>128</v>
      </c>
      <c r="B8" s="14" t="s">
        <v>129</v>
      </c>
      <c r="C8" s="15" t="s">
        <v>136</v>
      </c>
      <c r="D8" s="16" t="s">
        <v>137</v>
      </c>
      <c r="E8" s="22">
        <v>1</v>
      </c>
      <c r="F8" s="18" t="s">
        <v>20</v>
      </c>
      <c r="G8" s="24" t="s">
        <v>138</v>
      </c>
      <c r="H8" s="16"/>
    </row>
    <row r="9" spans="1:13" ht="30" customHeight="1" x14ac:dyDescent="0.25">
      <c r="A9" s="19" t="s">
        <v>128</v>
      </c>
      <c r="B9" s="19" t="s">
        <v>129</v>
      </c>
      <c r="C9" s="20" t="s">
        <v>139</v>
      </c>
      <c r="D9" s="21" t="s">
        <v>140</v>
      </c>
      <c r="E9" s="22">
        <v>1</v>
      </c>
      <c r="F9" s="18" t="s">
        <v>418</v>
      </c>
      <c r="G9" s="24" t="s">
        <v>1221</v>
      </c>
      <c r="H9" s="24" t="s">
        <v>141</v>
      </c>
    </row>
    <row r="10" spans="1:13" ht="30" customHeight="1" x14ac:dyDescent="0.25">
      <c r="A10" s="14" t="s">
        <v>128</v>
      </c>
      <c r="B10" s="14" t="s">
        <v>129</v>
      </c>
      <c r="C10" s="15" t="s">
        <v>142</v>
      </c>
      <c r="D10" s="16" t="s">
        <v>143</v>
      </c>
      <c r="E10" s="22">
        <v>1</v>
      </c>
      <c r="F10" s="18" t="s">
        <v>20</v>
      </c>
      <c r="G10" s="24" t="s">
        <v>1222</v>
      </c>
      <c r="H10" s="24" t="s">
        <v>144</v>
      </c>
    </row>
    <row r="11" spans="1:13" ht="30" customHeight="1" x14ac:dyDescent="0.25">
      <c r="A11" s="19" t="s">
        <v>128</v>
      </c>
      <c r="B11" s="19" t="s">
        <v>129</v>
      </c>
      <c r="C11" s="20" t="s">
        <v>145</v>
      </c>
      <c r="D11" s="21" t="s">
        <v>146</v>
      </c>
      <c r="E11" s="17">
        <v>2</v>
      </c>
      <c r="F11" s="18" t="s">
        <v>20</v>
      </c>
      <c r="G11" s="24" t="s">
        <v>147</v>
      </c>
      <c r="H11" s="21"/>
    </row>
    <row r="12" spans="1:13" ht="30" customHeight="1" x14ac:dyDescent="0.25">
      <c r="A12" s="14" t="s">
        <v>128</v>
      </c>
      <c r="B12" s="14" t="s">
        <v>129</v>
      </c>
      <c r="C12" s="15" t="s">
        <v>148</v>
      </c>
      <c r="D12" s="16" t="s">
        <v>149</v>
      </c>
      <c r="E12" s="17">
        <v>2</v>
      </c>
      <c r="F12" s="18" t="s">
        <v>20</v>
      </c>
      <c r="G12" s="24" t="s">
        <v>150</v>
      </c>
      <c r="H12" s="16"/>
    </row>
    <row r="13" spans="1:13" ht="30" customHeight="1" x14ac:dyDescent="0.25">
      <c r="A13" s="19" t="s">
        <v>128</v>
      </c>
      <c r="B13" s="19" t="s">
        <v>129</v>
      </c>
      <c r="C13" s="20" t="s">
        <v>151</v>
      </c>
      <c r="D13" s="21" t="s">
        <v>152</v>
      </c>
      <c r="E13" s="17">
        <v>2</v>
      </c>
      <c r="F13" s="18" t="s">
        <v>20</v>
      </c>
      <c r="G13" s="24" t="s">
        <v>153</v>
      </c>
      <c r="H13" s="21"/>
    </row>
    <row r="14" spans="1:13" ht="30" customHeight="1" x14ac:dyDescent="0.25">
      <c r="A14" s="14" t="s">
        <v>128</v>
      </c>
      <c r="B14" s="14" t="s">
        <v>129</v>
      </c>
      <c r="C14" s="15" t="s">
        <v>154</v>
      </c>
      <c r="D14" s="16" t="s">
        <v>155</v>
      </c>
      <c r="E14" s="17">
        <v>2</v>
      </c>
      <c r="F14" s="18" t="s">
        <v>12</v>
      </c>
      <c r="G14" s="24" t="s">
        <v>156</v>
      </c>
      <c r="H14" s="25" t="s">
        <v>157</v>
      </c>
      <c r="M14" s="27"/>
    </row>
    <row r="15" spans="1:13" ht="30" customHeight="1" x14ac:dyDescent="0.25">
      <c r="A15" s="19" t="s">
        <v>128</v>
      </c>
      <c r="B15" s="19" t="s">
        <v>129</v>
      </c>
      <c r="C15" s="20" t="s">
        <v>158</v>
      </c>
      <c r="D15" s="21" t="s">
        <v>159</v>
      </c>
      <c r="E15" s="23">
        <v>3</v>
      </c>
      <c r="F15" s="18" t="s">
        <v>12</v>
      </c>
      <c r="G15" s="24" t="s">
        <v>160</v>
      </c>
      <c r="H15" s="24" t="s">
        <v>161</v>
      </c>
    </row>
    <row r="16" spans="1:13" ht="18" customHeight="1" x14ac:dyDescent="0.25">
      <c r="A16" s="13" t="s">
        <v>162</v>
      </c>
      <c r="B16" s="13" t="s">
        <v>163</v>
      </c>
      <c r="C16" s="13"/>
      <c r="D16" s="13"/>
      <c r="E16" s="13"/>
      <c r="F16" s="13"/>
      <c r="G16" s="13"/>
      <c r="H16" s="13"/>
    </row>
    <row r="17" spans="1:8" ht="30" customHeight="1" x14ac:dyDescent="0.25">
      <c r="A17" s="14" t="s">
        <v>162</v>
      </c>
      <c r="B17" s="14" t="s">
        <v>163</v>
      </c>
      <c r="C17" s="15" t="s">
        <v>164</v>
      </c>
      <c r="D17" s="16" t="s">
        <v>165</v>
      </c>
      <c r="E17" s="22">
        <v>1</v>
      </c>
      <c r="F17" s="18" t="s">
        <v>20</v>
      </c>
      <c r="G17" s="24" t="s">
        <v>166</v>
      </c>
      <c r="H17" s="16"/>
    </row>
    <row r="18" spans="1:8" ht="30" customHeight="1" x14ac:dyDescent="0.25">
      <c r="A18" s="19" t="s">
        <v>162</v>
      </c>
      <c r="B18" s="19" t="s">
        <v>163</v>
      </c>
      <c r="C18" s="20" t="s">
        <v>167</v>
      </c>
      <c r="D18" s="21" t="s">
        <v>168</v>
      </c>
      <c r="E18" s="22">
        <v>1</v>
      </c>
      <c r="F18" s="18" t="s">
        <v>12</v>
      </c>
      <c r="G18" s="24" t="s">
        <v>169</v>
      </c>
      <c r="H18" s="24" t="s">
        <v>170</v>
      </c>
    </row>
    <row r="19" spans="1:8" ht="30" customHeight="1" x14ac:dyDescent="0.25">
      <c r="A19" s="14" t="s">
        <v>162</v>
      </c>
      <c r="B19" s="14" t="s">
        <v>163</v>
      </c>
      <c r="C19" s="15" t="s">
        <v>171</v>
      </c>
      <c r="D19" s="16" t="s">
        <v>172</v>
      </c>
      <c r="E19" s="17">
        <v>2</v>
      </c>
      <c r="F19" s="26" t="s">
        <v>12</v>
      </c>
      <c r="G19" s="24" t="s">
        <v>173</v>
      </c>
      <c r="H19" s="24" t="s">
        <v>174</v>
      </c>
    </row>
    <row r="20" spans="1:8" ht="30" customHeight="1" x14ac:dyDescent="0.25">
      <c r="A20" s="19" t="s">
        <v>162</v>
      </c>
      <c r="B20" s="19" t="s">
        <v>163</v>
      </c>
      <c r="C20" s="20" t="s">
        <v>175</v>
      </c>
      <c r="D20" s="21" t="s">
        <v>176</v>
      </c>
      <c r="E20" s="17">
        <v>2</v>
      </c>
      <c r="F20" s="18" t="s">
        <v>20</v>
      </c>
      <c r="G20" s="24" t="s">
        <v>177</v>
      </c>
      <c r="H20" s="21"/>
    </row>
    <row r="21" spans="1:8" ht="30" customHeight="1" x14ac:dyDescent="0.25">
      <c r="A21" s="14" t="s">
        <v>162</v>
      </c>
      <c r="B21" s="14" t="s">
        <v>163</v>
      </c>
      <c r="C21" s="15" t="s">
        <v>178</v>
      </c>
      <c r="D21" s="16" t="s">
        <v>179</v>
      </c>
      <c r="E21" s="17">
        <v>2</v>
      </c>
      <c r="F21" s="18" t="s">
        <v>20</v>
      </c>
      <c r="G21" s="24" t="s">
        <v>180</v>
      </c>
      <c r="H21" s="16"/>
    </row>
    <row r="22" spans="1:8" ht="30" customHeight="1" x14ac:dyDescent="0.25">
      <c r="A22" s="19" t="s">
        <v>162</v>
      </c>
      <c r="B22" s="19" t="s">
        <v>163</v>
      </c>
      <c r="C22" s="20" t="s">
        <v>181</v>
      </c>
      <c r="D22" s="21" t="s">
        <v>182</v>
      </c>
      <c r="E22" s="17">
        <v>2</v>
      </c>
      <c r="F22" s="18" t="s">
        <v>20</v>
      </c>
      <c r="G22" s="24" t="s">
        <v>183</v>
      </c>
      <c r="H22" s="21"/>
    </row>
    <row r="23" spans="1:8" ht="30" customHeight="1" x14ac:dyDescent="0.25">
      <c r="A23" s="14" t="s">
        <v>162</v>
      </c>
      <c r="B23" s="14" t="s">
        <v>163</v>
      </c>
      <c r="C23" s="15" t="s">
        <v>184</v>
      </c>
      <c r="D23" s="16" t="s">
        <v>185</v>
      </c>
      <c r="E23" s="17">
        <v>2</v>
      </c>
      <c r="F23" s="18" t="s">
        <v>20</v>
      </c>
      <c r="G23" s="24" t="s">
        <v>186</v>
      </c>
      <c r="H23" s="16"/>
    </row>
    <row r="24" spans="1:8" ht="30" customHeight="1" x14ac:dyDescent="0.25">
      <c r="A24" s="19" t="s">
        <v>162</v>
      </c>
      <c r="B24" s="19" t="s">
        <v>163</v>
      </c>
      <c r="C24" s="20" t="s">
        <v>187</v>
      </c>
      <c r="D24" s="21" t="s">
        <v>188</v>
      </c>
      <c r="E24" s="17">
        <v>2</v>
      </c>
      <c r="F24" s="18" t="s">
        <v>12</v>
      </c>
      <c r="G24" s="24" t="s">
        <v>189</v>
      </c>
      <c r="H24" s="24" t="s">
        <v>190</v>
      </c>
    </row>
    <row r="25" spans="1:8" ht="30" customHeight="1" x14ac:dyDescent="0.25">
      <c r="A25" s="14" t="s">
        <v>162</v>
      </c>
      <c r="B25" s="14" t="s">
        <v>163</v>
      </c>
      <c r="C25" s="15" t="s">
        <v>191</v>
      </c>
      <c r="D25" s="16" t="s">
        <v>192</v>
      </c>
      <c r="E25" s="17">
        <v>2</v>
      </c>
      <c r="F25" s="18" t="s">
        <v>20</v>
      </c>
      <c r="G25" s="24" t="s">
        <v>193</v>
      </c>
      <c r="H25" s="16"/>
    </row>
    <row r="26" spans="1:8" ht="30" customHeight="1" x14ac:dyDescent="0.25">
      <c r="A26" s="19" t="s">
        <v>162</v>
      </c>
      <c r="B26" s="19" t="s">
        <v>163</v>
      </c>
      <c r="C26" s="20" t="s">
        <v>194</v>
      </c>
      <c r="D26" s="21" t="s">
        <v>195</v>
      </c>
      <c r="E26" s="17">
        <v>2</v>
      </c>
      <c r="F26" s="18" t="s">
        <v>12</v>
      </c>
      <c r="G26" s="24" t="s">
        <v>196</v>
      </c>
      <c r="H26" s="24" t="s">
        <v>84</v>
      </c>
    </row>
    <row r="27" spans="1:8" ht="30" customHeight="1" x14ac:dyDescent="0.25">
      <c r="A27" s="14" t="s">
        <v>162</v>
      </c>
      <c r="B27" s="14" t="s">
        <v>163</v>
      </c>
      <c r="C27" s="15" t="s">
        <v>197</v>
      </c>
      <c r="D27" s="16" t="s">
        <v>198</v>
      </c>
      <c r="E27" s="17">
        <v>2</v>
      </c>
      <c r="F27" s="18" t="s">
        <v>20</v>
      </c>
      <c r="G27" s="24" t="s">
        <v>199</v>
      </c>
      <c r="H27" s="16"/>
    </row>
    <row r="28" spans="1:8" ht="30" customHeight="1" x14ac:dyDescent="0.25">
      <c r="A28" s="19" t="s">
        <v>162</v>
      </c>
      <c r="B28" s="19" t="s">
        <v>163</v>
      </c>
      <c r="C28" s="20" t="s">
        <v>200</v>
      </c>
      <c r="D28" s="21" t="s">
        <v>201</v>
      </c>
      <c r="E28" s="23">
        <v>3</v>
      </c>
      <c r="F28" s="18" t="s">
        <v>418</v>
      </c>
      <c r="G28" s="24" t="s">
        <v>1223</v>
      </c>
      <c r="H28" s="24" t="s">
        <v>157</v>
      </c>
    </row>
    <row r="29" spans="1:8" ht="18" customHeight="1" x14ac:dyDescent="0.25">
      <c r="A29" s="13" t="s">
        <v>202</v>
      </c>
      <c r="B29" s="13" t="s">
        <v>203</v>
      </c>
      <c r="C29" s="13"/>
      <c r="D29" s="13"/>
      <c r="E29" s="13"/>
      <c r="F29" s="13"/>
      <c r="G29" s="13"/>
      <c r="H29" s="13"/>
    </row>
    <row r="30" spans="1:8" ht="30" customHeight="1" x14ac:dyDescent="0.25">
      <c r="A30" s="14" t="s">
        <v>202</v>
      </c>
      <c r="B30" s="14" t="s">
        <v>203</v>
      </c>
      <c r="C30" s="15" t="s">
        <v>204</v>
      </c>
      <c r="D30" s="16" t="s">
        <v>205</v>
      </c>
      <c r="E30" s="17">
        <v>2</v>
      </c>
      <c r="F30" s="18" t="s">
        <v>20</v>
      </c>
      <c r="G30" s="24" t="s">
        <v>206</v>
      </c>
      <c r="H30" s="16"/>
    </row>
    <row r="31" spans="1:8" ht="30" customHeight="1" x14ac:dyDescent="0.25">
      <c r="A31" s="19" t="s">
        <v>202</v>
      </c>
      <c r="B31" s="19" t="s">
        <v>203</v>
      </c>
      <c r="C31" s="20" t="s">
        <v>207</v>
      </c>
      <c r="D31" s="21" t="s">
        <v>208</v>
      </c>
      <c r="E31" s="17">
        <v>2</v>
      </c>
      <c r="F31" s="18" t="s">
        <v>12</v>
      </c>
      <c r="G31" s="24" t="s">
        <v>209</v>
      </c>
      <c r="H31" s="24" t="s">
        <v>210</v>
      </c>
    </row>
    <row r="32" spans="1:8" ht="30" customHeight="1" x14ac:dyDescent="0.25">
      <c r="A32" s="14" t="s">
        <v>202</v>
      </c>
      <c r="B32" s="14" t="s">
        <v>203</v>
      </c>
      <c r="C32" s="15" t="s">
        <v>211</v>
      </c>
      <c r="D32" s="16" t="s">
        <v>212</v>
      </c>
      <c r="E32" s="17">
        <v>2</v>
      </c>
      <c r="F32" s="18" t="s">
        <v>20</v>
      </c>
      <c r="G32" s="24" t="s">
        <v>213</v>
      </c>
      <c r="H32" s="16"/>
    </row>
    <row r="33" spans="1:8" ht="18" customHeight="1" x14ac:dyDescent="0.25">
      <c r="A33" s="13" t="s">
        <v>214</v>
      </c>
      <c r="B33" s="13" t="s">
        <v>215</v>
      </c>
      <c r="C33" s="13"/>
      <c r="D33" s="13"/>
      <c r="E33" s="13"/>
      <c r="F33" s="13"/>
      <c r="G33" s="13"/>
      <c r="H33" s="13"/>
    </row>
    <row r="34" spans="1:8" ht="30" customHeight="1" x14ac:dyDescent="0.25">
      <c r="A34" s="14" t="s">
        <v>214</v>
      </c>
      <c r="B34" s="14" t="s">
        <v>215</v>
      </c>
      <c r="C34" s="15" t="s">
        <v>216</v>
      </c>
      <c r="D34" s="16" t="s">
        <v>217</v>
      </c>
      <c r="E34" s="22">
        <v>1</v>
      </c>
      <c r="F34" s="18" t="s">
        <v>20</v>
      </c>
      <c r="G34" s="24" t="s">
        <v>218</v>
      </c>
      <c r="H34" s="16"/>
    </row>
    <row r="35" spans="1:8" ht="30" customHeight="1" x14ac:dyDescent="0.25">
      <c r="A35" s="19" t="s">
        <v>214</v>
      </c>
      <c r="B35" s="19" t="s">
        <v>215</v>
      </c>
      <c r="C35" s="20" t="s">
        <v>219</v>
      </c>
      <c r="D35" s="21" t="s">
        <v>220</v>
      </c>
      <c r="E35" s="17">
        <v>2</v>
      </c>
      <c r="F35" s="18" t="s">
        <v>12</v>
      </c>
      <c r="G35" s="24" t="s">
        <v>221</v>
      </c>
      <c r="H35" s="24" t="s">
        <v>222</v>
      </c>
    </row>
    <row r="36" spans="1:8" ht="30" customHeight="1" x14ac:dyDescent="0.25">
      <c r="A36" s="14" t="s">
        <v>214</v>
      </c>
      <c r="B36" s="14" t="s">
        <v>215</v>
      </c>
      <c r="C36" s="15" t="s">
        <v>223</v>
      </c>
      <c r="D36" s="16" t="s">
        <v>224</v>
      </c>
      <c r="E36" s="23">
        <v>3</v>
      </c>
      <c r="F36" s="18" t="s">
        <v>12</v>
      </c>
      <c r="G36" s="24" t="s">
        <v>225</v>
      </c>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topLeftCell="C1" zoomScaleNormal="100" workbookViewId="0">
      <pane ySplit="1" topLeftCell="A2" activePane="bottomLeft" state="frozen"/>
      <selection pane="bottomLeft" activeCell="H13" sqref="H13"/>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226</v>
      </c>
      <c r="B2" s="13" t="s">
        <v>227</v>
      </c>
      <c r="C2" s="13"/>
      <c r="D2" s="13"/>
      <c r="E2" s="13"/>
      <c r="F2" s="13"/>
      <c r="G2" s="13"/>
      <c r="H2" s="13"/>
    </row>
    <row r="3" spans="1:8" ht="30" customHeight="1" x14ac:dyDescent="0.25">
      <c r="A3" s="14" t="s">
        <v>226</v>
      </c>
      <c r="B3" s="14" t="s">
        <v>227</v>
      </c>
      <c r="C3" s="15" t="s">
        <v>228</v>
      </c>
      <c r="D3" s="16" t="s">
        <v>229</v>
      </c>
      <c r="E3" s="22">
        <v>1</v>
      </c>
      <c r="F3" s="18" t="s">
        <v>710</v>
      </c>
      <c r="G3" s="24" t="s">
        <v>1230</v>
      </c>
      <c r="H3" s="24" t="s">
        <v>210</v>
      </c>
    </row>
    <row r="4" spans="1:8" ht="30" customHeight="1" x14ac:dyDescent="0.25">
      <c r="A4" s="19" t="s">
        <v>226</v>
      </c>
      <c r="B4" s="19" t="s">
        <v>227</v>
      </c>
      <c r="C4" s="20" t="s">
        <v>230</v>
      </c>
      <c r="D4" s="21" t="s">
        <v>231</v>
      </c>
      <c r="E4" s="17">
        <v>2</v>
      </c>
      <c r="F4" s="18" t="s">
        <v>710</v>
      </c>
      <c r="G4" s="24" t="s">
        <v>1231</v>
      </c>
      <c r="H4" s="24" t="s">
        <v>232</v>
      </c>
    </row>
    <row r="5" spans="1:8" ht="30" customHeight="1" x14ac:dyDescent="0.25">
      <c r="A5" s="14" t="s">
        <v>226</v>
      </c>
      <c r="B5" s="14" t="s">
        <v>227</v>
      </c>
      <c r="C5" s="15" t="s">
        <v>233</v>
      </c>
      <c r="D5" s="16" t="s">
        <v>234</v>
      </c>
      <c r="E5" s="17">
        <v>2</v>
      </c>
      <c r="F5" s="18" t="s">
        <v>710</v>
      </c>
      <c r="G5" s="24" t="s">
        <v>1232</v>
      </c>
      <c r="H5" s="24" t="s">
        <v>235</v>
      </c>
    </row>
    <row r="6" spans="1:8" ht="18" customHeight="1" x14ac:dyDescent="0.25">
      <c r="A6" s="13" t="s">
        <v>236</v>
      </c>
      <c r="B6" s="13" t="s">
        <v>237</v>
      </c>
      <c r="C6" s="13"/>
      <c r="D6" s="13"/>
      <c r="E6" s="13"/>
      <c r="F6" s="13"/>
      <c r="G6" s="13"/>
      <c r="H6" s="13"/>
    </row>
    <row r="7" spans="1:8" ht="30" customHeight="1" x14ac:dyDescent="0.25">
      <c r="A7" s="14" t="s">
        <v>236</v>
      </c>
      <c r="B7" s="14" t="s">
        <v>237</v>
      </c>
      <c r="C7" s="15" t="s">
        <v>238</v>
      </c>
      <c r="D7" s="16" t="s">
        <v>239</v>
      </c>
      <c r="E7" s="22">
        <v>1</v>
      </c>
      <c r="F7" s="18" t="s">
        <v>418</v>
      </c>
      <c r="G7" s="24" t="s">
        <v>1224</v>
      </c>
      <c r="H7" s="24" t="s">
        <v>210</v>
      </c>
    </row>
    <row r="8" spans="1:8" ht="30" customHeight="1" x14ac:dyDescent="0.25">
      <c r="A8" s="19" t="s">
        <v>236</v>
      </c>
      <c r="B8" s="19" t="s">
        <v>237</v>
      </c>
      <c r="C8" s="20" t="s">
        <v>240</v>
      </c>
      <c r="D8" s="21" t="s">
        <v>241</v>
      </c>
      <c r="E8" s="22">
        <v>1</v>
      </c>
      <c r="F8" s="18" t="s">
        <v>418</v>
      </c>
      <c r="G8" s="24" t="s">
        <v>1225</v>
      </c>
      <c r="H8" s="24" t="s">
        <v>242</v>
      </c>
    </row>
    <row r="9" spans="1:8" ht="30" customHeight="1" x14ac:dyDescent="0.25">
      <c r="A9" s="14" t="s">
        <v>236</v>
      </c>
      <c r="B9" s="14" t="s">
        <v>237</v>
      </c>
      <c r="C9" s="15" t="s">
        <v>243</v>
      </c>
      <c r="D9" s="16" t="s">
        <v>244</v>
      </c>
      <c r="E9" s="17">
        <v>2</v>
      </c>
      <c r="F9" s="18" t="s">
        <v>418</v>
      </c>
      <c r="G9" s="24" t="s">
        <v>1226</v>
      </c>
      <c r="H9" s="24" t="s">
        <v>245</v>
      </c>
    </row>
    <row r="10" spans="1:8" ht="18" customHeight="1" x14ac:dyDescent="0.25">
      <c r="A10" s="13" t="s">
        <v>246</v>
      </c>
      <c r="B10" s="13" t="s">
        <v>247</v>
      </c>
      <c r="C10" s="13"/>
      <c r="D10" s="13"/>
      <c r="E10" s="13"/>
      <c r="F10" s="13"/>
      <c r="G10" s="13"/>
      <c r="H10" s="13"/>
    </row>
    <row r="11" spans="1:8" ht="30" customHeight="1" x14ac:dyDescent="0.25">
      <c r="A11" s="14" t="s">
        <v>246</v>
      </c>
      <c r="B11" s="14" t="s">
        <v>247</v>
      </c>
      <c r="C11" s="15" t="s">
        <v>248</v>
      </c>
      <c r="D11" s="16" t="s">
        <v>249</v>
      </c>
      <c r="E11" s="22">
        <v>1</v>
      </c>
      <c r="F11" s="18" t="s">
        <v>12</v>
      </c>
      <c r="G11" s="24" t="s">
        <v>250</v>
      </c>
      <c r="H11" s="24" t="s">
        <v>251</v>
      </c>
    </row>
    <row r="12" spans="1:8" ht="30" customHeight="1" x14ac:dyDescent="0.25">
      <c r="A12" s="19" t="s">
        <v>246</v>
      </c>
      <c r="B12" s="19" t="s">
        <v>247</v>
      </c>
      <c r="C12" s="20" t="s">
        <v>252</v>
      </c>
      <c r="D12" s="21" t="s">
        <v>253</v>
      </c>
      <c r="E12" s="17">
        <v>2</v>
      </c>
      <c r="F12" s="18" t="s">
        <v>710</v>
      </c>
      <c r="G12" s="24" t="s">
        <v>1228</v>
      </c>
      <c r="H12" s="24" t="s">
        <v>254</v>
      </c>
    </row>
    <row r="13" spans="1:8" ht="30" customHeight="1" x14ac:dyDescent="0.25">
      <c r="A13" s="14" t="s">
        <v>246</v>
      </c>
      <c r="B13" s="14" t="s">
        <v>247</v>
      </c>
      <c r="C13" s="15" t="s">
        <v>255</v>
      </c>
      <c r="D13" s="16" t="s">
        <v>256</v>
      </c>
      <c r="E13" s="17">
        <v>2</v>
      </c>
      <c r="F13" s="18" t="s">
        <v>418</v>
      </c>
      <c r="G13" s="24" t="s">
        <v>1227</v>
      </c>
      <c r="H13" s="24" t="s">
        <v>257</v>
      </c>
    </row>
    <row r="14" spans="1:8" ht="30" customHeight="1" x14ac:dyDescent="0.25">
      <c r="A14" s="19" t="s">
        <v>246</v>
      </c>
      <c r="B14" s="19" t="s">
        <v>247</v>
      </c>
      <c r="C14" s="20" t="s">
        <v>258</v>
      </c>
      <c r="D14" s="21" t="s">
        <v>259</v>
      </c>
      <c r="E14" s="17">
        <v>2</v>
      </c>
      <c r="F14" s="18" t="s">
        <v>12</v>
      </c>
      <c r="G14" s="24" t="s">
        <v>260</v>
      </c>
      <c r="H14" s="24" t="s">
        <v>123</v>
      </c>
    </row>
    <row r="15" spans="1:8" ht="30" customHeight="1" x14ac:dyDescent="0.25">
      <c r="A15" s="14" t="s">
        <v>246</v>
      </c>
      <c r="B15" s="14" t="s">
        <v>247</v>
      </c>
      <c r="C15" s="15" t="s">
        <v>261</v>
      </c>
      <c r="D15" s="16" t="s">
        <v>262</v>
      </c>
      <c r="E15" s="23">
        <v>3</v>
      </c>
      <c r="F15" s="18" t="s">
        <v>20</v>
      </c>
      <c r="G15" s="24" t="s">
        <v>263</v>
      </c>
      <c r="H15" s="16"/>
    </row>
    <row r="16" spans="1:8" ht="18" customHeight="1" x14ac:dyDescent="0.25">
      <c r="A16" s="13" t="s">
        <v>264</v>
      </c>
      <c r="B16" s="13" t="s">
        <v>265</v>
      </c>
      <c r="C16" s="13"/>
      <c r="D16" s="13"/>
      <c r="E16" s="13"/>
      <c r="F16" s="13"/>
      <c r="G16" s="13"/>
      <c r="H16" s="13"/>
    </row>
    <row r="17" spans="1:8" ht="30" customHeight="1" x14ac:dyDescent="0.25">
      <c r="A17" s="14" t="s">
        <v>264</v>
      </c>
      <c r="B17" s="14" t="s">
        <v>265</v>
      </c>
      <c r="C17" s="15" t="s">
        <v>266</v>
      </c>
      <c r="D17" s="16" t="s">
        <v>267</v>
      </c>
      <c r="E17" s="17">
        <v>2</v>
      </c>
      <c r="F17" s="18" t="s">
        <v>710</v>
      </c>
      <c r="G17" s="24" t="s">
        <v>1229</v>
      </c>
      <c r="H17" s="24" t="s">
        <v>268</v>
      </c>
    </row>
    <row r="18" spans="1:8" ht="30" customHeight="1" x14ac:dyDescent="0.25">
      <c r="A18" s="19" t="s">
        <v>264</v>
      </c>
      <c r="B18" s="19" t="s">
        <v>265</v>
      </c>
      <c r="C18" s="20" t="s">
        <v>269</v>
      </c>
      <c r="D18" s="21" t="s">
        <v>270</v>
      </c>
      <c r="E18" s="23">
        <v>3</v>
      </c>
      <c r="F18" s="18" t="s">
        <v>12</v>
      </c>
      <c r="G18" s="24" t="s">
        <v>271</v>
      </c>
      <c r="H18" s="24" t="s">
        <v>272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12" activePane="bottomLeft" state="frozen"/>
      <selection pane="bottomLeft" activeCell="M22" sqref="M22"/>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273</v>
      </c>
      <c r="B2" s="13" t="s">
        <v>274</v>
      </c>
      <c r="C2" s="13"/>
      <c r="D2" s="13"/>
      <c r="E2" s="13"/>
      <c r="F2" s="13"/>
      <c r="G2" s="13"/>
      <c r="H2" s="13"/>
    </row>
    <row r="3" spans="1:8" ht="30" customHeight="1" x14ac:dyDescent="0.25">
      <c r="A3" s="14" t="s">
        <v>273</v>
      </c>
      <c r="B3" s="14" t="s">
        <v>274</v>
      </c>
      <c r="C3" s="15" t="s">
        <v>275</v>
      </c>
      <c r="D3" s="16" t="s">
        <v>276</v>
      </c>
      <c r="E3" s="23">
        <v>3</v>
      </c>
      <c r="F3" s="18" t="s">
        <v>20</v>
      </c>
      <c r="G3" t="s">
        <v>277</v>
      </c>
      <c r="H3" s="16"/>
    </row>
    <row r="4" spans="1:8" ht="18" customHeight="1" x14ac:dyDescent="0.25">
      <c r="A4" s="13" t="s">
        <v>278</v>
      </c>
      <c r="B4" s="13" t="s">
        <v>279</v>
      </c>
      <c r="C4" s="13"/>
      <c r="D4" s="13"/>
      <c r="E4" s="13"/>
      <c r="F4" s="13"/>
      <c r="G4" s="13"/>
      <c r="H4" s="13"/>
    </row>
    <row r="5" spans="1:8" ht="30" customHeight="1" x14ac:dyDescent="0.25">
      <c r="A5" s="14" t="s">
        <v>278</v>
      </c>
      <c r="B5" s="14" t="s">
        <v>279</v>
      </c>
      <c r="C5" s="15" t="s">
        <v>280</v>
      </c>
      <c r="D5" s="16" t="s">
        <v>281</v>
      </c>
      <c r="E5" s="22">
        <v>1</v>
      </c>
      <c r="F5" s="18" t="s">
        <v>20</v>
      </c>
      <c r="G5" s="24" t="s">
        <v>282</v>
      </c>
      <c r="H5" s="16"/>
    </row>
    <row r="6" spans="1:8" ht="30" customHeight="1" x14ac:dyDescent="0.25">
      <c r="A6" s="19" t="s">
        <v>278</v>
      </c>
      <c r="B6" s="19" t="s">
        <v>279</v>
      </c>
      <c r="C6" s="20" t="s">
        <v>283</v>
      </c>
      <c r="D6" s="21" t="s">
        <v>284</v>
      </c>
      <c r="E6" s="22">
        <v>1</v>
      </c>
      <c r="F6" s="18" t="s">
        <v>20</v>
      </c>
      <c r="G6" s="24" t="s">
        <v>285</v>
      </c>
      <c r="H6" s="21"/>
    </row>
    <row r="7" spans="1:8" ht="30" customHeight="1" x14ac:dyDescent="0.25">
      <c r="A7" s="14" t="s">
        <v>278</v>
      </c>
      <c r="B7" s="14" t="s">
        <v>279</v>
      </c>
      <c r="C7" s="15" t="s">
        <v>286</v>
      </c>
      <c r="D7" s="16" t="s">
        <v>287</v>
      </c>
      <c r="E7" s="23">
        <v>3</v>
      </c>
      <c r="F7" s="18" t="s">
        <v>20</v>
      </c>
      <c r="G7" s="24" t="s">
        <v>288</v>
      </c>
      <c r="H7" s="16"/>
    </row>
    <row r="8" spans="1:8" ht="18" customHeight="1" x14ac:dyDescent="0.25">
      <c r="A8" s="13" t="s">
        <v>289</v>
      </c>
      <c r="B8" s="13" t="s">
        <v>290</v>
      </c>
      <c r="C8" s="13"/>
      <c r="D8" s="13"/>
      <c r="E8" s="13"/>
      <c r="F8" s="13"/>
      <c r="G8" s="13"/>
      <c r="H8" s="13"/>
    </row>
    <row r="9" spans="1:8" ht="30" customHeight="1" x14ac:dyDescent="0.25">
      <c r="A9" s="14" t="s">
        <v>289</v>
      </c>
      <c r="B9" s="14" t="s">
        <v>290</v>
      </c>
      <c r="C9" s="15" t="s">
        <v>291</v>
      </c>
      <c r="D9" s="16" t="s">
        <v>292</v>
      </c>
      <c r="E9" s="22">
        <v>1</v>
      </c>
      <c r="F9" s="18" t="s">
        <v>20</v>
      </c>
      <c r="G9" s="24" t="s">
        <v>293</v>
      </c>
      <c r="H9" s="16"/>
    </row>
    <row r="10" spans="1:8" ht="30" customHeight="1" x14ac:dyDescent="0.25">
      <c r="A10" s="19" t="s">
        <v>289</v>
      </c>
      <c r="B10" s="19" t="s">
        <v>290</v>
      </c>
      <c r="C10" s="20" t="s">
        <v>294</v>
      </c>
      <c r="D10" s="21" t="s">
        <v>295</v>
      </c>
      <c r="E10" s="17">
        <v>2</v>
      </c>
      <c r="F10" s="18" t="s">
        <v>20</v>
      </c>
      <c r="G10" s="24" t="s">
        <v>296</v>
      </c>
      <c r="H10" s="21"/>
    </row>
    <row r="11" spans="1:8" ht="30" customHeight="1" x14ac:dyDescent="0.25">
      <c r="A11" s="14" t="s">
        <v>289</v>
      </c>
      <c r="B11" s="14" t="s">
        <v>290</v>
      </c>
      <c r="C11" s="15" t="s">
        <v>297</v>
      </c>
      <c r="D11" s="16" t="s">
        <v>298</v>
      </c>
      <c r="E11" s="17">
        <v>2</v>
      </c>
      <c r="F11" s="18" t="s">
        <v>20</v>
      </c>
      <c r="G11" s="24" t="s">
        <v>296</v>
      </c>
      <c r="H11" s="16"/>
    </row>
    <row r="12" spans="1:8" ht="30" customHeight="1" x14ac:dyDescent="0.25">
      <c r="A12" s="19" t="s">
        <v>289</v>
      </c>
      <c r="B12" s="19" t="s">
        <v>290</v>
      </c>
      <c r="C12" s="20" t="s">
        <v>299</v>
      </c>
      <c r="D12" s="21" t="s">
        <v>300</v>
      </c>
      <c r="E12" s="17">
        <v>2</v>
      </c>
      <c r="F12" s="18" t="s">
        <v>20</v>
      </c>
      <c r="G12" s="24" t="s">
        <v>296</v>
      </c>
      <c r="H12" s="21"/>
    </row>
    <row r="13" spans="1:8" ht="30" customHeight="1" x14ac:dyDescent="0.25">
      <c r="A13" s="14" t="s">
        <v>289</v>
      </c>
      <c r="B13" s="14" t="s">
        <v>290</v>
      </c>
      <c r="C13" s="15" t="s">
        <v>301</v>
      </c>
      <c r="D13" s="16" t="s">
        <v>302</v>
      </c>
      <c r="E13" s="23">
        <v>3</v>
      </c>
      <c r="F13" s="18" t="s">
        <v>20</v>
      </c>
      <c r="G13" s="24" t="s">
        <v>296</v>
      </c>
      <c r="H13" s="16"/>
    </row>
    <row r="14" spans="1:8" ht="18" customHeight="1" x14ac:dyDescent="0.25">
      <c r="A14" s="13" t="s">
        <v>303</v>
      </c>
      <c r="B14" s="13" t="s">
        <v>304</v>
      </c>
      <c r="C14" s="13"/>
      <c r="D14" s="13"/>
      <c r="E14" s="13"/>
      <c r="F14" s="13"/>
      <c r="G14" s="13"/>
      <c r="H14" s="13"/>
    </row>
    <row r="15" spans="1:8" ht="30" customHeight="1" x14ac:dyDescent="0.25">
      <c r="A15" s="14" t="s">
        <v>303</v>
      </c>
      <c r="B15" s="14" t="s">
        <v>304</v>
      </c>
      <c r="C15" s="15" t="s">
        <v>305</v>
      </c>
      <c r="D15" s="16" t="s">
        <v>306</v>
      </c>
      <c r="E15" s="22">
        <v>1</v>
      </c>
      <c r="F15" s="18" t="s">
        <v>418</v>
      </c>
      <c r="G15" s="24" t="s">
        <v>1233</v>
      </c>
      <c r="H15" s="16"/>
    </row>
    <row r="16" spans="1:8" ht="30" customHeight="1" x14ac:dyDescent="0.25">
      <c r="A16" s="19" t="s">
        <v>303</v>
      </c>
      <c r="B16" s="19" t="s">
        <v>304</v>
      </c>
      <c r="C16" s="20" t="s">
        <v>307</v>
      </c>
      <c r="D16" s="21" t="s">
        <v>308</v>
      </c>
      <c r="E16" s="22">
        <v>1</v>
      </c>
      <c r="F16" s="18" t="s">
        <v>418</v>
      </c>
      <c r="G16" s="24" t="s">
        <v>1234</v>
      </c>
      <c r="H16" s="21"/>
    </row>
    <row r="17" spans="1:8" ht="30" customHeight="1" x14ac:dyDescent="0.25">
      <c r="A17" s="14" t="s">
        <v>303</v>
      </c>
      <c r="B17" s="14" t="s">
        <v>304</v>
      </c>
      <c r="C17" s="15" t="s">
        <v>309</v>
      </c>
      <c r="D17" s="16" t="s">
        <v>310</v>
      </c>
      <c r="E17" s="17">
        <v>2</v>
      </c>
      <c r="F17" s="18" t="s">
        <v>20</v>
      </c>
      <c r="G17" s="24" t="s">
        <v>311</v>
      </c>
      <c r="H17" s="16"/>
    </row>
    <row r="18" spans="1:8" ht="30" customHeight="1" x14ac:dyDescent="0.25">
      <c r="A18" s="19" t="s">
        <v>303</v>
      </c>
      <c r="B18" s="19" t="s">
        <v>304</v>
      </c>
      <c r="C18" s="20" t="s">
        <v>312</v>
      </c>
      <c r="D18" s="21" t="s">
        <v>313</v>
      </c>
      <c r="E18" s="17">
        <v>2</v>
      </c>
      <c r="F18" s="18" t="s">
        <v>418</v>
      </c>
      <c r="G18" s="21" t="s">
        <v>1235</v>
      </c>
      <c r="H18" s="21"/>
    </row>
    <row r="19" spans="1:8" ht="30" customHeight="1" x14ac:dyDescent="0.25">
      <c r="A19" s="14" t="s">
        <v>303</v>
      </c>
      <c r="B19" s="14" t="s">
        <v>304</v>
      </c>
      <c r="C19" s="15" t="s">
        <v>314</v>
      </c>
      <c r="D19" s="16" t="s">
        <v>315</v>
      </c>
      <c r="E19" s="17">
        <v>2</v>
      </c>
      <c r="F19" s="18" t="s">
        <v>20</v>
      </c>
      <c r="G19" s="16" t="s">
        <v>316</v>
      </c>
      <c r="H19" s="16"/>
    </row>
    <row r="20" spans="1:8" ht="30" customHeight="1" x14ac:dyDescent="0.25">
      <c r="A20" s="19" t="s">
        <v>303</v>
      </c>
      <c r="B20" s="19" t="s">
        <v>304</v>
      </c>
      <c r="C20" s="20" t="s">
        <v>317</v>
      </c>
      <c r="D20" s="21" t="s">
        <v>318</v>
      </c>
      <c r="E20" s="17">
        <v>2</v>
      </c>
      <c r="F20" s="18" t="s">
        <v>20</v>
      </c>
      <c r="G20" s="21" t="s">
        <v>311</v>
      </c>
      <c r="H20" s="21"/>
    </row>
    <row r="21" spans="1:8" ht="30" customHeight="1" x14ac:dyDescent="0.25">
      <c r="A21" s="14" t="s">
        <v>303</v>
      </c>
      <c r="B21" s="14" t="s">
        <v>304</v>
      </c>
      <c r="C21" s="15" t="s">
        <v>319</v>
      </c>
      <c r="D21" s="16" t="s">
        <v>320</v>
      </c>
      <c r="E21" s="23">
        <v>3</v>
      </c>
      <c r="F21" s="18" t="s">
        <v>20</v>
      </c>
      <c r="G21" s="16" t="s">
        <v>311</v>
      </c>
      <c r="H21" s="16"/>
    </row>
    <row r="22" spans="1:8" ht="30" customHeight="1" x14ac:dyDescent="0.25">
      <c r="A22" s="19" t="s">
        <v>303</v>
      </c>
      <c r="B22" s="19" t="s">
        <v>304</v>
      </c>
      <c r="C22" s="20" t="s">
        <v>321</v>
      </c>
      <c r="D22" s="21" t="s">
        <v>322</v>
      </c>
      <c r="E22" s="23">
        <v>3</v>
      </c>
      <c r="F22" s="18" t="s">
        <v>20</v>
      </c>
      <c r="G22" s="21" t="s">
        <v>311</v>
      </c>
      <c r="H22" s="21"/>
    </row>
    <row r="23" spans="1:8" ht="18" customHeight="1" x14ac:dyDescent="0.25">
      <c r="A23" s="13" t="s">
        <v>323</v>
      </c>
      <c r="B23" s="13" t="s">
        <v>324</v>
      </c>
      <c r="C23" s="13"/>
      <c r="D23" s="13"/>
      <c r="E23" s="13"/>
      <c r="F23" s="13"/>
      <c r="G23" s="13"/>
      <c r="H23" s="13"/>
    </row>
    <row r="24" spans="1:8" ht="30" customHeight="1" x14ac:dyDescent="0.25">
      <c r="A24" s="14" t="s">
        <v>323</v>
      </c>
      <c r="B24" s="14" t="s">
        <v>324</v>
      </c>
      <c r="C24" s="15" t="s">
        <v>325</v>
      </c>
      <c r="D24" s="16" t="s">
        <v>326</v>
      </c>
      <c r="E24" s="22">
        <v>1</v>
      </c>
      <c r="F24" s="18" t="s">
        <v>418</v>
      </c>
      <c r="G24" s="16" t="s">
        <v>1236</v>
      </c>
      <c r="H24" s="16"/>
    </row>
    <row r="25" spans="1:8" ht="30" customHeight="1" x14ac:dyDescent="0.25">
      <c r="A25" s="19" t="s">
        <v>323</v>
      </c>
      <c r="B25" s="19" t="s">
        <v>324</v>
      </c>
      <c r="C25" s="20" t="s">
        <v>327</v>
      </c>
      <c r="D25" s="21" t="s">
        <v>328</v>
      </c>
      <c r="E25" s="22">
        <v>1</v>
      </c>
      <c r="F25" s="18" t="s">
        <v>20</v>
      </c>
      <c r="G25" s="21" t="s">
        <v>1237</v>
      </c>
      <c r="H25" s="21"/>
    </row>
    <row r="26" spans="1:8" ht="30" customHeight="1" x14ac:dyDescent="0.25">
      <c r="A26" s="14" t="s">
        <v>323</v>
      </c>
      <c r="B26" s="14" t="s">
        <v>324</v>
      </c>
      <c r="C26" s="15" t="s">
        <v>329</v>
      </c>
      <c r="D26" s="16" t="s">
        <v>330</v>
      </c>
      <c r="E26" s="22">
        <v>1</v>
      </c>
      <c r="F26" s="18" t="s">
        <v>418</v>
      </c>
      <c r="G26" s="16" t="s">
        <v>1238</v>
      </c>
      <c r="H26" s="16"/>
    </row>
    <row r="27" spans="1:8" ht="30" customHeight="1" x14ac:dyDescent="0.25">
      <c r="A27" s="19" t="s">
        <v>323</v>
      </c>
      <c r="B27" s="19" t="s">
        <v>324</v>
      </c>
      <c r="C27" s="20" t="s">
        <v>331</v>
      </c>
      <c r="D27" s="21" t="s">
        <v>332</v>
      </c>
      <c r="E27" s="17">
        <v>2</v>
      </c>
      <c r="F27" s="18" t="s">
        <v>20</v>
      </c>
      <c r="G27" s="21" t="s">
        <v>333</v>
      </c>
      <c r="H27" s="21"/>
    </row>
    <row r="28" spans="1:8" ht="30" customHeight="1" x14ac:dyDescent="0.25">
      <c r="A28" s="14" t="s">
        <v>323</v>
      </c>
      <c r="B28" s="14" t="s">
        <v>324</v>
      </c>
      <c r="C28" s="15" t="s">
        <v>334</v>
      </c>
      <c r="D28" s="16" t="s">
        <v>335</v>
      </c>
      <c r="E28" s="17">
        <v>2</v>
      </c>
      <c r="F28" s="18" t="s">
        <v>20</v>
      </c>
      <c r="G28" s="16" t="s">
        <v>336</v>
      </c>
      <c r="H28" s="16"/>
    </row>
    <row r="29" spans="1:8" ht="30" customHeight="1" x14ac:dyDescent="0.25">
      <c r="A29" s="19" t="s">
        <v>323</v>
      </c>
      <c r="B29" s="19" t="s">
        <v>324</v>
      </c>
      <c r="C29" s="20" t="s">
        <v>337</v>
      </c>
      <c r="D29" s="21" t="s">
        <v>338</v>
      </c>
      <c r="E29" s="23">
        <v>3</v>
      </c>
      <c r="F29" s="18" t="s">
        <v>20</v>
      </c>
      <c r="G29" s="21" t="s">
        <v>339</v>
      </c>
      <c r="H29" s="21"/>
    </row>
    <row r="30" spans="1:8" ht="30" customHeight="1" x14ac:dyDescent="0.25">
      <c r="A30" s="14" t="s">
        <v>323</v>
      </c>
      <c r="B30" s="14" t="s">
        <v>324</v>
      </c>
      <c r="C30" s="15" t="s">
        <v>340</v>
      </c>
      <c r="D30" s="16" t="s">
        <v>341</v>
      </c>
      <c r="E30" s="23">
        <v>3</v>
      </c>
      <c r="F30" s="18" t="s">
        <v>20</v>
      </c>
      <c r="G30" s="16" t="s">
        <v>342</v>
      </c>
      <c r="H30" s="16"/>
    </row>
    <row r="31" spans="1:8" ht="30" customHeight="1" x14ac:dyDescent="0.25">
      <c r="A31" s="19" t="s">
        <v>323</v>
      </c>
      <c r="B31" s="19" t="s">
        <v>324</v>
      </c>
      <c r="C31" s="20" t="s">
        <v>343</v>
      </c>
      <c r="D31" s="21" t="s">
        <v>344</v>
      </c>
      <c r="E31" s="23">
        <v>3</v>
      </c>
      <c r="F31" s="18" t="s">
        <v>20</v>
      </c>
      <c r="G31" s="21" t="s">
        <v>345</v>
      </c>
      <c r="H31" s="21"/>
    </row>
    <row r="32" spans="1:8" ht="18" customHeight="1" x14ac:dyDescent="0.25">
      <c r="A32" s="13" t="s">
        <v>346</v>
      </c>
      <c r="B32" s="13" t="s">
        <v>347</v>
      </c>
      <c r="C32" s="13"/>
      <c r="D32" s="13"/>
      <c r="E32" s="13"/>
      <c r="F32" s="13"/>
      <c r="G32" s="13"/>
      <c r="H32" s="13"/>
    </row>
    <row r="33" spans="1:8" ht="30" customHeight="1" x14ac:dyDescent="0.25">
      <c r="A33" s="14" t="s">
        <v>346</v>
      </c>
      <c r="B33" s="14" t="s">
        <v>347</v>
      </c>
      <c r="C33" s="15" t="s">
        <v>348</v>
      </c>
      <c r="D33" s="16" t="s">
        <v>349</v>
      </c>
      <c r="E33" s="23">
        <v>3</v>
      </c>
      <c r="F33" s="18" t="s">
        <v>20</v>
      </c>
      <c r="G33" s="16" t="s">
        <v>350</v>
      </c>
      <c r="H33" s="16"/>
    </row>
    <row r="34" spans="1:8" ht="18" customHeight="1" x14ac:dyDescent="0.25">
      <c r="A34" s="13" t="s">
        <v>351</v>
      </c>
      <c r="B34" s="13" t="s">
        <v>352</v>
      </c>
      <c r="C34" s="13"/>
      <c r="D34" s="13"/>
      <c r="E34" s="13"/>
      <c r="F34" s="13"/>
      <c r="G34" s="13"/>
      <c r="H34" s="13"/>
    </row>
    <row r="35" spans="1:8" ht="30" customHeight="1" x14ac:dyDescent="0.25">
      <c r="A35" s="14" t="s">
        <v>351</v>
      </c>
      <c r="B35" s="14" t="s">
        <v>352</v>
      </c>
      <c r="C35" s="15" t="s">
        <v>353</v>
      </c>
      <c r="D35" s="16" t="s">
        <v>354</v>
      </c>
      <c r="E35" s="17">
        <v>2</v>
      </c>
      <c r="F35" s="18" t="s">
        <v>20</v>
      </c>
      <c r="G35" s="16" t="s">
        <v>355</v>
      </c>
      <c r="H35" s="16"/>
    </row>
    <row r="36" spans="1:8" ht="30" customHeight="1" x14ac:dyDescent="0.25">
      <c r="A36" s="19" t="s">
        <v>351</v>
      </c>
      <c r="B36" s="19" t="s">
        <v>352</v>
      </c>
      <c r="C36" s="20" t="s">
        <v>356</v>
      </c>
      <c r="D36" s="21" t="s">
        <v>357</v>
      </c>
      <c r="E36" s="17">
        <v>2</v>
      </c>
      <c r="F36" s="18" t="s">
        <v>20</v>
      </c>
      <c r="G36" s="21" t="s">
        <v>358</v>
      </c>
      <c r="H36" s="21"/>
    </row>
    <row r="37" spans="1:8" ht="30" customHeight="1" x14ac:dyDescent="0.25">
      <c r="A37" s="14" t="s">
        <v>351</v>
      </c>
      <c r="B37" s="14" t="s">
        <v>352</v>
      </c>
      <c r="C37" s="15" t="s">
        <v>359</v>
      </c>
      <c r="D37" s="16" t="s">
        <v>360</v>
      </c>
      <c r="E37" s="23">
        <v>3</v>
      </c>
      <c r="F37" s="18" t="s">
        <v>20</v>
      </c>
      <c r="G37" s="16" t="s">
        <v>361</v>
      </c>
      <c r="H37" s="16"/>
    </row>
    <row r="38" spans="1:8" ht="30" customHeight="1" x14ac:dyDescent="0.25">
      <c r="A38" s="19" t="s">
        <v>351</v>
      </c>
      <c r="B38" s="19" t="s">
        <v>352</v>
      </c>
      <c r="C38" s="20" t="s">
        <v>362</v>
      </c>
      <c r="D38" s="21" t="s">
        <v>363</v>
      </c>
      <c r="E38" s="23">
        <v>3</v>
      </c>
      <c r="F38" s="18" t="s">
        <v>20</v>
      </c>
      <c r="G38" s="21" t="s">
        <v>364</v>
      </c>
      <c r="H38" s="21"/>
    </row>
    <row r="39" spans="1:8" ht="30" customHeight="1" x14ac:dyDescent="0.25">
      <c r="A39" s="14" t="s">
        <v>351</v>
      </c>
      <c r="B39" s="14" t="s">
        <v>352</v>
      </c>
      <c r="C39" s="15" t="s">
        <v>365</v>
      </c>
      <c r="D39" s="16" t="s">
        <v>366</v>
      </c>
      <c r="E39" s="23">
        <v>3</v>
      </c>
      <c r="F39" s="18" t="s">
        <v>20</v>
      </c>
      <c r="G39" s="16" t="s">
        <v>367</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85" zoomScaleNormal="85" workbookViewId="0">
      <pane ySplit="1" topLeftCell="A2" activePane="bottomLeft" state="frozen"/>
      <selection pane="bottomLeft" activeCell="G5" sqref="G5"/>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368</v>
      </c>
      <c r="B2" s="13" t="s">
        <v>369</v>
      </c>
      <c r="C2" s="13"/>
      <c r="D2" s="13"/>
      <c r="E2" s="13"/>
      <c r="F2" s="13"/>
      <c r="G2" s="13"/>
      <c r="H2" s="13"/>
    </row>
    <row r="3" spans="1:8" ht="30" customHeight="1" x14ac:dyDescent="0.25">
      <c r="A3" s="14" t="s">
        <v>368</v>
      </c>
      <c r="B3" s="14" t="s">
        <v>369</v>
      </c>
      <c r="C3" s="15" t="s">
        <v>370</v>
      </c>
      <c r="D3" s="16" t="s">
        <v>371</v>
      </c>
      <c r="E3" s="22">
        <v>1</v>
      </c>
      <c r="F3" s="18" t="s">
        <v>418</v>
      </c>
      <c r="G3" s="16" t="s">
        <v>1239</v>
      </c>
      <c r="H3" s="16"/>
    </row>
    <row r="4" spans="1:8" ht="30" customHeight="1" x14ac:dyDescent="0.25">
      <c r="A4" s="19" t="s">
        <v>368</v>
      </c>
      <c r="B4" s="19" t="s">
        <v>369</v>
      </c>
      <c r="C4" s="20" t="s">
        <v>372</v>
      </c>
      <c r="D4" s="21" t="s">
        <v>373</v>
      </c>
      <c r="E4" s="17">
        <v>2</v>
      </c>
      <c r="F4" s="18" t="s">
        <v>20</v>
      </c>
      <c r="G4" s="21" t="s">
        <v>374</v>
      </c>
      <c r="H4" s="21"/>
    </row>
    <row r="5" spans="1:8" ht="30" customHeight="1" x14ac:dyDescent="0.25">
      <c r="A5" s="14" t="s">
        <v>368</v>
      </c>
      <c r="B5" s="14" t="s">
        <v>369</v>
      </c>
      <c r="C5" s="15" t="s">
        <v>375</v>
      </c>
      <c r="D5" s="16" t="s">
        <v>376</v>
      </c>
      <c r="E5" s="17">
        <v>2</v>
      </c>
      <c r="F5" s="18" t="s">
        <v>710</v>
      </c>
      <c r="G5" s="16" t="s">
        <v>1240</v>
      </c>
      <c r="H5" s="16"/>
    </row>
    <row r="6" spans="1:8" ht="30" customHeight="1" x14ac:dyDescent="0.25">
      <c r="A6" s="19" t="s">
        <v>368</v>
      </c>
      <c r="B6" s="19" t="s">
        <v>369</v>
      </c>
      <c r="C6" s="20" t="s">
        <v>377</v>
      </c>
      <c r="D6" s="21" t="s">
        <v>378</v>
      </c>
      <c r="E6" s="23">
        <v>3</v>
      </c>
      <c r="F6" s="18" t="s">
        <v>418</v>
      </c>
      <c r="G6" s="21" t="s">
        <v>1241</v>
      </c>
      <c r="H6" s="21"/>
    </row>
    <row r="7" spans="1:8" ht="30" customHeight="1" x14ac:dyDescent="0.25">
      <c r="A7" s="14" t="s">
        <v>368</v>
      </c>
      <c r="B7" s="14" t="s">
        <v>369</v>
      </c>
      <c r="C7" s="15" t="s">
        <v>379</v>
      </c>
      <c r="D7" s="16" t="s">
        <v>380</v>
      </c>
      <c r="E7" s="23">
        <v>3</v>
      </c>
      <c r="F7" s="18" t="s">
        <v>20</v>
      </c>
      <c r="G7" s="16" t="s">
        <v>381</v>
      </c>
      <c r="H7" s="16"/>
    </row>
    <row r="8" spans="1:8" ht="18" customHeight="1" x14ac:dyDescent="0.25">
      <c r="A8" s="13" t="s">
        <v>382</v>
      </c>
      <c r="B8" s="13" t="s">
        <v>383</v>
      </c>
      <c r="C8" s="13"/>
      <c r="D8" s="13"/>
      <c r="E8" s="13"/>
      <c r="F8" s="13"/>
      <c r="G8" s="13"/>
      <c r="H8" s="13"/>
    </row>
    <row r="9" spans="1:8" ht="30" customHeight="1" x14ac:dyDescent="0.25">
      <c r="A9" s="14" t="s">
        <v>382</v>
      </c>
      <c r="B9" s="14" t="s">
        <v>383</v>
      </c>
      <c r="C9" s="15" t="s">
        <v>384</v>
      </c>
      <c r="D9" s="16" t="s">
        <v>385</v>
      </c>
      <c r="E9" s="17">
        <v>2</v>
      </c>
      <c r="F9" s="18" t="s">
        <v>418</v>
      </c>
      <c r="G9" s="16" t="s">
        <v>1242</v>
      </c>
      <c r="H9" s="16"/>
    </row>
    <row r="10" spans="1:8" ht="30" customHeight="1" x14ac:dyDescent="0.25">
      <c r="A10" s="19" t="s">
        <v>382</v>
      </c>
      <c r="B10" s="19" t="s">
        <v>383</v>
      </c>
      <c r="C10" s="20" t="s">
        <v>386</v>
      </c>
      <c r="D10" s="21" t="s">
        <v>387</v>
      </c>
      <c r="E10" s="23">
        <v>3</v>
      </c>
      <c r="F10" s="18" t="s">
        <v>418</v>
      </c>
      <c r="G10" s="21" t="s">
        <v>1243</v>
      </c>
      <c r="H10" s="21"/>
    </row>
    <row r="11" spans="1:8" ht="30" customHeight="1" x14ac:dyDescent="0.25">
      <c r="A11" s="14" t="s">
        <v>382</v>
      </c>
      <c r="B11" s="14" t="s">
        <v>383</v>
      </c>
      <c r="C11" s="15" t="s">
        <v>388</v>
      </c>
      <c r="D11" s="16" t="s">
        <v>389</v>
      </c>
      <c r="E11" s="23">
        <v>3</v>
      </c>
      <c r="F11" s="18" t="s">
        <v>418</v>
      </c>
      <c r="G11" s="16" t="s">
        <v>1244</v>
      </c>
      <c r="H11" s="16"/>
    </row>
    <row r="12" spans="1:8" ht="30" customHeight="1" x14ac:dyDescent="0.25">
      <c r="A12" s="19" t="s">
        <v>382</v>
      </c>
      <c r="B12" s="19" t="s">
        <v>383</v>
      </c>
      <c r="C12" s="20" t="s">
        <v>390</v>
      </c>
      <c r="D12" s="21" t="s">
        <v>391</v>
      </c>
      <c r="E12" s="23">
        <v>3</v>
      </c>
      <c r="F12" s="18" t="s">
        <v>418</v>
      </c>
      <c r="G12" s="21" t="s">
        <v>1245</v>
      </c>
      <c r="H12" s="21"/>
    </row>
    <row r="13" spans="1:8" ht="30" customHeight="1" x14ac:dyDescent="0.25">
      <c r="A13" s="14" t="s">
        <v>382</v>
      </c>
      <c r="B13" s="14" t="s">
        <v>383</v>
      </c>
      <c r="C13" s="15" t="s">
        <v>392</v>
      </c>
      <c r="D13" s="16" t="s">
        <v>393</v>
      </c>
      <c r="E13" s="23">
        <v>3</v>
      </c>
      <c r="F13" s="18" t="s">
        <v>418</v>
      </c>
      <c r="G13" s="16" t="s">
        <v>1246</v>
      </c>
      <c r="H13" s="16"/>
    </row>
    <row r="14" spans="1:8" ht="18" customHeight="1" x14ac:dyDescent="0.25">
      <c r="A14" s="13" t="s">
        <v>394</v>
      </c>
      <c r="B14" s="13" t="s">
        <v>395</v>
      </c>
      <c r="C14" s="13"/>
      <c r="D14" s="13"/>
      <c r="E14" s="13"/>
      <c r="F14" s="13"/>
      <c r="G14" s="13"/>
      <c r="H14" s="13"/>
    </row>
    <row r="15" spans="1:8" ht="30" customHeight="1" x14ac:dyDescent="0.25">
      <c r="A15" s="14" t="s">
        <v>394</v>
      </c>
      <c r="B15" s="14" t="s">
        <v>395</v>
      </c>
      <c r="C15" s="15" t="s">
        <v>396</v>
      </c>
      <c r="D15" s="16" t="s">
        <v>397</v>
      </c>
      <c r="E15" s="17">
        <v>2</v>
      </c>
      <c r="F15" s="18" t="s">
        <v>20</v>
      </c>
      <c r="G15" s="16" t="s">
        <v>398</v>
      </c>
      <c r="H15" s="16"/>
    </row>
    <row r="16" spans="1:8" ht="30" customHeight="1" x14ac:dyDescent="0.25">
      <c r="A16" s="19" t="s">
        <v>394</v>
      </c>
      <c r="B16" s="19" t="s">
        <v>395</v>
      </c>
      <c r="C16" s="20" t="s">
        <v>399</v>
      </c>
      <c r="D16" s="21" t="s">
        <v>400</v>
      </c>
      <c r="E16" s="17">
        <v>2</v>
      </c>
      <c r="F16" s="18" t="s">
        <v>20</v>
      </c>
      <c r="G16" s="21" t="s">
        <v>401</v>
      </c>
      <c r="H16" s="21"/>
    </row>
    <row r="17" spans="1:8" ht="18" customHeight="1" x14ac:dyDescent="0.25">
      <c r="A17" s="13" t="s">
        <v>402</v>
      </c>
      <c r="B17" s="13" t="s">
        <v>403</v>
      </c>
      <c r="C17" s="13"/>
      <c r="D17" s="13"/>
      <c r="E17" s="13"/>
      <c r="F17" s="13"/>
      <c r="G17" s="13"/>
      <c r="H17" s="13"/>
    </row>
    <row r="18" spans="1:8" ht="30" customHeight="1" x14ac:dyDescent="0.25">
      <c r="A18" s="14" t="s">
        <v>402</v>
      </c>
      <c r="B18" s="14" t="s">
        <v>403</v>
      </c>
      <c r="C18" s="15" t="s">
        <v>404</v>
      </c>
      <c r="D18" s="16" t="s">
        <v>405</v>
      </c>
      <c r="E18" s="22">
        <v>1</v>
      </c>
      <c r="F18" s="18" t="s">
        <v>20</v>
      </c>
      <c r="G18" s="16" t="s">
        <v>406</v>
      </c>
      <c r="H18" s="16"/>
    </row>
    <row r="19" spans="1:8" ht="30" customHeight="1" x14ac:dyDescent="0.25">
      <c r="A19" s="19" t="s">
        <v>402</v>
      </c>
      <c r="B19" s="19" t="s">
        <v>403</v>
      </c>
      <c r="C19" s="20" t="s">
        <v>407</v>
      </c>
      <c r="D19" s="21" t="s">
        <v>408</v>
      </c>
      <c r="E19" s="17">
        <v>2</v>
      </c>
      <c r="F19" s="18" t="s">
        <v>20</v>
      </c>
      <c r="G19" s="21" t="s">
        <v>409</v>
      </c>
      <c r="H19" s="21"/>
    </row>
    <row r="20" spans="1:8" ht="30" customHeight="1" x14ac:dyDescent="0.25">
      <c r="A20" s="14" t="s">
        <v>402</v>
      </c>
      <c r="B20" s="14" t="s">
        <v>403</v>
      </c>
      <c r="C20" s="15" t="s">
        <v>410</v>
      </c>
      <c r="D20" s="16" t="s">
        <v>411</v>
      </c>
      <c r="E20" s="17">
        <v>2</v>
      </c>
      <c r="F20" s="18" t="s">
        <v>20</v>
      </c>
      <c r="G20" s="16" t="s">
        <v>409</v>
      </c>
      <c r="H20" s="16"/>
    </row>
    <row r="21" spans="1:8" ht="30" customHeight="1" x14ac:dyDescent="0.25">
      <c r="A21" s="19" t="s">
        <v>402</v>
      </c>
      <c r="B21" s="19" t="s">
        <v>403</v>
      </c>
      <c r="C21" s="20" t="s">
        <v>412</v>
      </c>
      <c r="D21" s="21" t="s">
        <v>413</v>
      </c>
      <c r="E21" s="17">
        <v>2</v>
      </c>
      <c r="F21" s="18" t="s">
        <v>20</v>
      </c>
      <c r="G21" s="21" t="s">
        <v>409</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E1" zoomScale="75" zoomScaleNormal="75" workbookViewId="0">
      <pane ySplit="1" topLeftCell="A2" activePane="bottomLeft" state="frozen"/>
      <selection pane="bottomLeft" activeCell="H16" sqref="H16"/>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414</v>
      </c>
      <c r="B2" s="13" t="s">
        <v>415</v>
      </c>
      <c r="C2" s="13"/>
      <c r="D2" s="13"/>
      <c r="E2" s="13"/>
      <c r="F2" s="13"/>
      <c r="G2" s="13"/>
      <c r="H2" s="13"/>
    </row>
    <row r="3" spans="1:8" ht="30" customHeight="1" x14ac:dyDescent="0.25">
      <c r="A3" s="14" t="s">
        <v>414</v>
      </c>
      <c r="B3" s="14" t="s">
        <v>415</v>
      </c>
      <c r="C3" s="15" t="s">
        <v>416</v>
      </c>
      <c r="D3" s="16" t="s">
        <v>417</v>
      </c>
      <c r="E3" s="17">
        <v>2</v>
      </c>
      <c r="F3" s="18" t="s">
        <v>418</v>
      </c>
      <c r="G3" s="16" t="s">
        <v>419</v>
      </c>
      <c r="H3" s="16" t="s">
        <v>157</v>
      </c>
    </row>
    <row r="4" spans="1:8" ht="18" customHeight="1" x14ac:dyDescent="0.25">
      <c r="A4" s="13" t="s">
        <v>420</v>
      </c>
      <c r="B4" s="13" t="s">
        <v>421</v>
      </c>
      <c r="C4" s="13"/>
      <c r="D4" s="13"/>
      <c r="E4" s="13"/>
      <c r="F4" s="13"/>
      <c r="G4" s="13"/>
      <c r="H4" s="13"/>
    </row>
    <row r="5" spans="1:8" ht="30" customHeight="1" x14ac:dyDescent="0.25">
      <c r="A5" s="14" t="s">
        <v>420</v>
      </c>
      <c r="B5" s="14" t="s">
        <v>421</v>
      </c>
      <c r="C5" s="15" t="s">
        <v>422</v>
      </c>
      <c r="D5" s="16" t="s">
        <v>423</v>
      </c>
      <c r="E5" s="22">
        <v>1</v>
      </c>
      <c r="F5" s="18" t="s">
        <v>20</v>
      </c>
      <c r="G5" s="16" t="s">
        <v>424</v>
      </c>
      <c r="H5" s="16"/>
    </row>
    <row r="6" spans="1:8" ht="30" customHeight="1" x14ac:dyDescent="0.25">
      <c r="A6" s="19" t="s">
        <v>420</v>
      </c>
      <c r="B6" s="19" t="s">
        <v>421</v>
      </c>
      <c r="C6" s="20" t="s">
        <v>425</v>
      </c>
      <c r="D6" s="21" t="s">
        <v>426</v>
      </c>
      <c r="E6" s="22">
        <v>1</v>
      </c>
      <c r="F6" s="18" t="s">
        <v>20</v>
      </c>
      <c r="G6" s="21" t="s">
        <v>427</v>
      </c>
      <c r="H6" s="21"/>
    </row>
    <row r="7" spans="1:8" ht="30" customHeight="1" x14ac:dyDescent="0.25">
      <c r="A7" s="14" t="s">
        <v>420</v>
      </c>
      <c r="B7" s="14" t="s">
        <v>421</v>
      </c>
      <c r="C7" s="15" t="s">
        <v>428</v>
      </c>
      <c r="D7" s="16" t="s">
        <v>429</v>
      </c>
      <c r="E7" s="17">
        <v>2</v>
      </c>
      <c r="F7" s="18" t="s">
        <v>20</v>
      </c>
      <c r="G7" s="16" t="s">
        <v>430</v>
      </c>
      <c r="H7" s="16"/>
    </row>
    <row r="8" spans="1:8" ht="30" customHeight="1" x14ac:dyDescent="0.25">
      <c r="A8" s="19" t="s">
        <v>420</v>
      </c>
      <c r="B8" s="19" t="s">
        <v>421</v>
      </c>
      <c r="C8" s="20" t="s">
        <v>431</v>
      </c>
      <c r="D8" s="21" t="s">
        <v>432</v>
      </c>
      <c r="E8" s="23">
        <v>3</v>
      </c>
      <c r="F8" s="18" t="s">
        <v>20</v>
      </c>
      <c r="G8" s="21" t="s">
        <v>427</v>
      </c>
      <c r="H8" s="21"/>
    </row>
    <row r="9" spans="1:8" ht="30" customHeight="1" x14ac:dyDescent="0.25">
      <c r="A9" s="14" t="s">
        <v>420</v>
      </c>
      <c r="B9" s="14" t="s">
        <v>421</v>
      </c>
      <c r="C9" s="15" t="s">
        <v>433</v>
      </c>
      <c r="D9" s="16" t="s">
        <v>434</v>
      </c>
      <c r="E9" s="23">
        <v>3</v>
      </c>
      <c r="F9" s="18" t="s">
        <v>20</v>
      </c>
      <c r="G9" s="16" t="s">
        <v>430</v>
      </c>
      <c r="H9" s="16"/>
    </row>
    <row r="10" spans="1:8" ht="30" customHeight="1" x14ac:dyDescent="0.25">
      <c r="A10" s="19" t="s">
        <v>420</v>
      </c>
      <c r="B10" s="19" t="s">
        <v>421</v>
      </c>
      <c r="C10" s="20" t="s">
        <v>435</v>
      </c>
      <c r="D10" s="21" t="s">
        <v>436</v>
      </c>
      <c r="E10" s="23">
        <v>3</v>
      </c>
      <c r="F10" s="18" t="s">
        <v>20</v>
      </c>
      <c r="G10" s="21" t="s">
        <v>437</v>
      </c>
      <c r="H10" s="21"/>
    </row>
    <row r="11" spans="1:8" ht="18" customHeight="1" x14ac:dyDescent="0.25">
      <c r="A11" s="13" t="s">
        <v>438</v>
      </c>
      <c r="B11" s="13" t="s">
        <v>439</v>
      </c>
      <c r="C11" s="13"/>
      <c r="D11" s="13"/>
      <c r="E11" s="13"/>
      <c r="F11" s="13"/>
      <c r="G11" s="13"/>
      <c r="H11" s="13"/>
    </row>
    <row r="12" spans="1:8" ht="30" customHeight="1" x14ac:dyDescent="0.25">
      <c r="A12" s="14" t="s">
        <v>438</v>
      </c>
      <c r="B12" s="14" t="s">
        <v>439</v>
      </c>
      <c r="C12" s="15" t="s">
        <v>440</v>
      </c>
      <c r="D12" s="16" t="s">
        <v>441</v>
      </c>
      <c r="E12" s="22">
        <v>1</v>
      </c>
      <c r="F12" s="18" t="s">
        <v>418</v>
      </c>
      <c r="G12" s="16" t="s">
        <v>1247</v>
      </c>
      <c r="H12" s="16" t="s">
        <v>442</v>
      </c>
    </row>
    <row r="13" spans="1:8" ht="30" customHeight="1" x14ac:dyDescent="0.25">
      <c r="A13" s="19" t="s">
        <v>438</v>
      </c>
      <c r="B13" s="19" t="s">
        <v>439</v>
      </c>
      <c r="C13" s="20" t="s">
        <v>443</v>
      </c>
      <c r="D13" s="21" t="s">
        <v>444</v>
      </c>
      <c r="E13" s="22">
        <v>1</v>
      </c>
      <c r="F13" s="18" t="s">
        <v>418</v>
      </c>
      <c r="G13" s="21" t="s">
        <v>445</v>
      </c>
      <c r="H13" s="21" t="s">
        <v>446</v>
      </c>
    </row>
    <row r="14" spans="1:8" ht="30" customHeight="1" x14ac:dyDescent="0.25">
      <c r="A14" s="14" t="s">
        <v>438</v>
      </c>
      <c r="B14" s="14" t="s">
        <v>439</v>
      </c>
      <c r="C14" s="15" t="s">
        <v>447</v>
      </c>
      <c r="D14" s="16" t="s">
        <v>448</v>
      </c>
      <c r="E14" s="23">
        <v>3</v>
      </c>
      <c r="F14" s="18" t="s">
        <v>20</v>
      </c>
      <c r="G14" s="16" t="s">
        <v>449</v>
      </c>
      <c r="H14" s="16"/>
    </row>
    <row r="15" spans="1:8" ht="18" customHeight="1" x14ac:dyDescent="0.25">
      <c r="A15" s="13" t="s">
        <v>450</v>
      </c>
      <c r="B15" s="13" t="s">
        <v>451</v>
      </c>
      <c r="C15" s="13"/>
      <c r="D15" s="13"/>
      <c r="E15" s="13"/>
      <c r="F15" s="13"/>
      <c r="G15" s="13"/>
      <c r="H15" s="13"/>
    </row>
    <row r="16" spans="1:8" ht="30" customHeight="1" x14ac:dyDescent="0.25">
      <c r="A16" s="14" t="s">
        <v>450</v>
      </c>
      <c r="B16" s="14" t="s">
        <v>451</v>
      </c>
      <c r="C16" s="15" t="s">
        <v>452</v>
      </c>
      <c r="D16" s="16" t="s">
        <v>453</v>
      </c>
      <c r="E16" s="17">
        <v>2</v>
      </c>
      <c r="F16" s="18" t="s">
        <v>418</v>
      </c>
      <c r="G16" s="16" t="s">
        <v>454</v>
      </c>
      <c r="H16" s="16" t="s">
        <v>446</v>
      </c>
    </row>
    <row r="17" spans="1:8" ht="30" customHeight="1" x14ac:dyDescent="0.25">
      <c r="A17" s="19" t="s">
        <v>450</v>
      </c>
      <c r="B17" s="19" t="s">
        <v>451</v>
      </c>
      <c r="C17" s="20" t="s">
        <v>455</v>
      </c>
      <c r="D17" s="21" t="s">
        <v>456</v>
      </c>
      <c r="E17" s="17">
        <v>2</v>
      </c>
      <c r="F17" s="18" t="s">
        <v>20</v>
      </c>
      <c r="G17" s="21" t="s">
        <v>1248</v>
      </c>
      <c r="H17" s="21" t="s">
        <v>157</v>
      </c>
    </row>
    <row r="18" spans="1:8" ht="30" customHeight="1" x14ac:dyDescent="0.25">
      <c r="A18" s="14" t="s">
        <v>450</v>
      </c>
      <c r="B18" s="14" t="s">
        <v>451</v>
      </c>
      <c r="C18" s="15" t="s">
        <v>457</v>
      </c>
      <c r="D18" s="16" t="s">
        <v>458</v>
      </c>
      <c r="E18" s="17">
        <v>2</v>
      </c>
      <c r="F18" s="18" t="s">
        <v>20</v>
      </c>
      <c r="G18" s="16" t="s">
        <v>459</v>
      </c>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D1" zoomScale="83" zoomScaleNormal="75" workbookViewId="0">
      <pane ySplit="1" topLeftCell="A2" activePane="bottomLeft" state="frozen"/>
      <selection pane="bottomLeft" activeCell="H10" sqref="H10"/>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460</v>
      </c>
      <c r="B2" s="13" t="s">
        <v>461</v>
      </c>
      <c r="C2" s="13"/>
      <c r="D2" s="13"/>
      <c r="E2" s="13"/>
      <c r="F2" s="13"/>
      <c r="G2" s="13"/>
      <c r="H2" s="13"/>
    </row>
    <row r="3" spans="1:8" ht="30" customHeight="1" x14ac:dyDescent="0.25">
      <c r="A3" s="14" t="s">
        <v>460</v>
      </c>
      <c r="B3" s="14" t="s">
        <v>461</v>
      </c>
      <c r="C3" s="15" t="s">
        <v>462</v>
      </c>
      <c r="D3" s="16" t="s">
        <v>463</v>
      </c>
      <c r="E3" s="22">
        <v>1</v>
      </c>
      <c r="F3" s="18" t="s">
        <v>418</v>
      </c>
      <c r="G3" s="16" t="s">
        <v>1249</v>
      </c>
      <c r="H3" s="16" t="s">
        <v>464</v>
      </c>
    </row>
    <row r="4" spans="1:8" ht="30" customHeight="1" x14ac:dyDescent="0.25">
      <c r="A4" s="19" t="s">
        <v>460</v>
      </c>
      <c r="B4" s="19" t="s">
        <v>461</v>
      </c>
      <c r="C4" s="20" t="s">
        <v>465</v>
      </c>
      <c r="D4" s="21" t="s">
        <v>466</v>
      </c>
      <c r="E4" s="17">
        <v>2</v>
      </c>
      <c r="F4" s="18" t="s">
        <v>12</v>
      </c>
      <c r="G4" s="21" t="s">
        <v>467</v>
      </c>
      <c r="H4" s="21" t="s">
        <v>468</v>
      </c>
    </row>
    <row r="5" spans="1:8" ht="30" customHeight="1" x14ac:dyDescent="0.25">
      <c r="A5" s="14" t="s">
        <v>460</v>
      </c>
      <c r="B5" s="14" t="s">
        <v>461</v>
      </c>
      <c r="C5" s="15" t="s">
        <v>469</v>
      </c>
      <c r="D5" s="16" t="s">
        <v>470</v>
      </c>
      <c r="E5" s="17">
        <v>2</v>
      </c>
      <c r="F5" s="18" t="s">
        <v>20</v>
      </c>
      <c r="G5" s="16" t="s">
        <v>471</v>
      </c>
      <c r="H5" s="16"/>
    </row>
    <row r="6" spans="1:8" ht="18" customHeight="1" x14ac:dyDescent="0.25">
      <c r="A6" s="13" t="s">
        <v>472</v>
      </c>
      <c r="B6" s="13" t="s">
        <v>473</v>
      </c>
      <c r="C6" s="13"/>
      <c r="D6" s="13"/>
      <c r="E6" s="13"/>
      <c r="F6" s="13"/>
      <c r="G6" s="13"/>
      <c r="H6" s="13"/>
    </row>
    <row r="7" spans="1:8" ht="30" customHeight="1" x14ac:dyDescent="0.25">
      <c r="A7" s="14" t="s">
        <v>472</v>
      </c>
      <c r="B7" s="14" t="s">
        <v>473</v>
      </c>
      <c r="C7" s="15" t="s">
        <v>474</v>
      </c>
      <c r="D7" s="16" t="s">
        <v>475</v>
      </c>
      <c r="E7" s="22">
        <v>1</v>
      </c>
      <c r="F7" s="18" t="s">
        <v>418</v>
      </c>
      <c r="G7" s="16" t="s">
        <v>476</v>
      </c>
      <c r="H7" s="16" t="s">
        <v>477</v>
      </c>
    </row>
    <row r="8" spans="1:8" ht="30" customHeight="1" x14ac:dyDescent="0.25">
      <c r="A8" s="19" t="s">
        <v>472</v>
      </c>
      <c r="B8" s="19" t="s">
        <v>473</v>
      </c>
      <c r="C8" s="20" t="s">
        <v>478</v>
      </c>
      <c r="D8" s="21" t="s">
        <v>479</v>
      </c>
      <c r="E8" s="22">
        <v>1</v>
      </c>
      <c r="F8" s="18" t="s">
        <v>418</v>
      </c>
      <c r="G8" s="21" t="s">
        <v>1250</v>
      </c>
      <c r="H8" s="21" t="s">
        <v>480</v>
      </c>
    </row>
    <row r="9" spans="1:8" ht="30" customHeight="1" x14ac:dyDescent="0.25">
      <c r="A9" s="14" t="s">
        <v>472</v>
      </c>
      <c r="B9" s="14" t="s">
        <v>473</v>
      </c>
      <c r="C9" s="15" t="s">
        <v>481</v>
      </c>
      <c r="D9" s="16" t="s">
        <v>482</v>
      </c>
      <c r="E9" s="22">
        <v>1</v>
      </c>
      <c r="F9" s="18" t="s">
        <v>12</v>
      </c>
      <c r="G9" s="16" t="s">
        <v>483</v>
      </c>
      <c r="H9" s="16" t="s">
        <v>468</v>
      </c>
    </row>
    <row r="10" spans="1:8" ht="30" customHeight="1" x14ac:dyDescent="0.25">
      <c r="A10" s="19" t="s">
        <v>472</v>
      </c>
      <c r="B10" s="19" t="s">
        <v>473</v>
      </c>
      <c r="C10" s="20" t="s">
        <v>484</v>
      </c>
      <c r="D10" s="21" t="s">
        <v>485</v>
      </c>
      <c r="E10" s="22">
        <v>1</v>
      </c>
      <c r="F10" s="18" t="s">
        <v>418</v>
      </c>
      <c r="G10" s="21" t="s">
        <v>486</v>
      </c>
      <c r="H10" s="21" t="s">
        <v>487</v>
      </c>
    </row>
    <row r="11" spans="1:8" ht="30" customHeight="1" x14ac:dyDescent="0.25">
      <c r="A11" s="14" t="s">
        <v>472</v>
      </c>
      <c r="B11" s="14" t="s">
        <v>473</v>
      </c>
      <c r="C11" s="15" t="s">
        <v>488</v>
      </c>
      <c r="D11" s="16" t="s">
        <v>489</v>
      </c>
      <c r="E11" s="22">
        <v>1</v>
      </c>
      <c r="F11" s="18" t="s">
        <v>418</v>
      </c>
      <c r="G11" s="16" t="s">
        <v>1251</v>
      </c>
      <c r="H11" s="16" t="s">
        <v>468</v>
      </c>
    </row>
    <row r="12" spans="1:8" ht="30" customHeight="1" x14ac:dyDescent="0.25">
      <c r="A12" s="19" t="s">
        <v>472</v>
      </c>
      <c r="B12" s="19" t="s">
        <v>473</v>
      </c>
      <c r="C12" s="20" t="s">
        <v>490</v>
      </c>
      <c r="D12" s="21" t="s">
        <v>491</v>
      </c>
      <c r="E12" s="22">
        <v>1</v>
      </c>
      <c r="F12" s="18" t="s">
        <v>20</v>
      </c>
      <c r="G12" s="21" t="s">
        <v>492</v>
      </c>
      <c r="H12" s="21"/>
    </row>
    <row r="13" spans="1:8" ht="30" customHeight="1" x14ac:dyDescent="0.25">
      <c r="A13" s="14" t="s">
        <v>472</v>
      </c>
      <c r="B13" s="14" t="s">
        <v>473</v>
      </c>
      <c r="C13" s="15" t="s">
        <v>493</v>
      </c>
      <c r="D13" s="16" t="s">
        <v>494</v>
      </c>
      <c r="E13" s="22">
        <v>1</v>
      </c>
      <c r="F13" s="18" t="s">
        <v>20</v>
      </c>
      <c r="G13" s="16" t="s">
        <v>495</v>
      </c>
      <c r="H13" s="16"/>
    </row>
    <row r="14" spans="1:8" ht="30" customHeight="1" x14ac:dyDescent="0.25">
      <c r="A14" s="19" t="s">
        <v>472</v>
      </c>
      <c r="B14" s="19" t="s">
        <v>473</v>
      </c>
      <c r="C14" s="20" t="s">
        <v>496</v>
      </c>
      <c r="D14" s="21" t="s">
        <v>497</v>
      </c>
      <c r="E14" s="22">
        <v>1</v>
      </c>
      <c r="F14" s="18" t="s">
        <v>418</v>
      </c>
      <c r="G14" s="21" t="s">
        <v>498</v>
      </c>
      <c r="H14" s="21" t="s">
        <v>499</v>
      </c>
    </row>
    <row r="15" spans="1:8" ht="30" customHeight="1" x14ac:dyDescent="0.25">
      <c r="A15" s="14" t="s">
        <v>472</v>
      </c>
      <c r="B15" s="14" t="s">
        <v>473</v>
      </c>
      <c r="C15" s="15" t="s">
        <v>500</v>
      </c>
      <c r="D15" s="16" t="s">
        <v>501</v>
      </c>
      <c r="E15" s="17">
        <v>2</v>
      </c>
      <c r="F15" s="18" t="s">
        <v>418</v>
      </c>
      <c r="G15" s="16" t="s">
        <v>502</v>
      </c>
      <c r="H15" s="16" t="s">
        <v>468</v>
      </c>
    </row>
    <row r="16" spans="1:8" ht="30" customHeight="1" x14ac:dyDescent="0.25">
      <c r="A16" s="19" t="s">
        <v>472</v>
      </c>
      <c r="B16" s="19" t="s">
        <v>473</v>
      </c>
      <c r="C16" s="20" t="s">
        <v>503</v>
      </c>
      <c r="D16" s="21" t="s">
        <v>504</v>
      </c>
      <c r="E16" s="17">
        <v>2</v>
      </c>
      <c r="F16" s="18" t="s">
        <v>418</v>
      </c>
      <c r="G16" s="21" t="s">
        <v>1252</v>
      </c>
      <c r="H16" s="21" t="s">
        <v>468</v>
      </c>
    </row>
    <row r="17" spans="1:8" ht="30" customHeight="1" x14ac:dyDescent="0.25">
      <c r="A17" s="14" t="s">
        <v>472</v>
      </c>
      <c r="B17" s="14" t="s">
        <v>473</v>
      </c>
      <c r="C17" s="15" t="s">
        <v>505</v>
      </c>
      <c r="D17" s="16" t="s">
        <v>506</v>
      </c>
      <c r="E17" s="17">
        <v>2</v>
      </c>
      <c r="F17" s="18" t="s">
        <v>12</v>
      </c>
      <c r="G17" s="16" t="s">
        <v>507</v>
      </c>
      <c r="H17" s="16" t="s">
        <v>468</v>
      </c>
    </row>
    <row r="18" spans="1:8" ht="30" customHeight="1" x14ac:dyDescent="0.25">
      <c r="A18" s="19" t="s">
        <v>472</v>
      </c>
      <c r="B18" s="19" t="s">
        <v>473</v>
      </c>
      <c r="C18" s="20" t="s">
        <v>508</v>
      </c>
      <c r="D18" s="21" t="s">
        <v>509</v>
      </c>
      <c r="E18" s="17">
        <v>2</v>
      </c>
      <c r="F18" s="18" t="s">
        <v>418</v>
      </c>
      <c r="G18" s="21" t="s">
        <v>1253</v>
      </c>
      <c r="H18" s="21" t="s">
        <v>468</v>
      </c>
    </row>
    <row r="19" spans="1:8" ht="18" customHeight="1" x14ac:dyDescent="0.25">
      <c r="A19" s="13" t="s">
        <v>510</v>
      </c>
      <c r="B19" s="13" t="s">
        <v>511</v>
      </c>
      <c r="C19" s="13"/>
      <c r="D19" s="13"/>
      <c r="E19" s="13"/>
      <c r="F19" s="13"/>
      <c r="G19" s="13"/>
      <c r="H19" s="13"/>
    </row>
    <row r="20" spans="1:8" ht="30" customHeight="1" x14ac:dyDescent="0.25">
      <c r="A20" s="14" t="s">
        <v>510</v>
      </c>
      <c r="B20" s="14" t="s">
        <v>511</v>
      </c>
      <c r="C20" s="15" t="s">
        <v>512</v>
      </c>
      <c r="D20" s="16" t="s">
        <v>513</v>
      </c>
      <c r="E20" s="22">
        <v>1</v>
      </c>
      <c r="F20" s="18" t="s">
        <v>418</v>
      </c>
      <c r="G20" s="16" t="s">
        <v>514</v>
      </c>
      <c r="H20" s="16" t="s">
        <v>515</v>
      </c>
    </row>
    <row r="21" spans="1:8" ht="30" customHeight="1" x14ac:dyDescent="0.25">
      <c r="A21" s="19" t="s">
        <v>510</v>
      </c>
      <c r="B21" s="19" t="s">
        <v>511</v>
      </c>
      <c r="C21" s="20" t="s">
        <v>516</v>
      </c>
      <c r="D21" s="21" t="s">
        <v>517</v>
      </c>
      <c r="E21" s="22">
        <v>1</v>
      </c>
      <c r="F21" s="18" t="s">
        <v>418</v>
      </c>
      <c r="G21" s="21" t="s">
        <v>518</v>
      </c>
      <c r="H21" s="21" t="s">
        <v>519</v>
      </c>
    </row>
    <row r="22" spans="1:8" ht="30" customHeight="1" x14ac:dyDescent="0.25">
      <c r="A22" s="14" t="s">
        <v>510</v>
      </c>
      <c r="B22" s="14" t="s">
        <v>511</v>
      </c>
      <c r="C22" s="15" t="s">
        <v>520</v>
      </c>
      <c r="D22" s="16" t="s">
        <v>521</v>
      </c>
      <c r="E22" s="17">
        <v>2</v>
      </c>
      <c r="F22" s="18" t="s">
        <v>20</v>
      </c>
      <c r="G22" s="16" t="s">
        <v>522</v>
      </c>
      <c r="H22" s="16"/>
    </row>
    <row r="23" spans="1:8" ht="30" customHeight="1" x14ac:dyDescent="0.25">
      <c r="A23" s="19" t="s">
        <v>510</v>
      </c>
      <c r="B23" s="19" t="s">
        <v>511</v>
      </c>
      <c r="C23" s="20" t="s">
        <v>523</v>
      </c>
      <c r="D23" s="21" t="s">
        <v>524</v>
      </c>
      <c r="E23" s="17">
        <v>2</v>
      </c>
      <c r="F23" s="18" t="s">
        <v>418</v>
      </c>
      <c r="G23" s="21" t="s">
        <v>1254</v>
      </c>
      <c r="H23" s="21" t="s">
        <v>29</v>
      </c>
    </row>
    <row r="24" spans="1:8" ht="30" customHeight="1" x14ac:dyDescent="0.25">
      <c r="A24" s="14" t="s">
        <v>510</v>
      </c>
      <c r="B24" s="14" t="s">
        <v>511</v>
      </c>
      <c r="C24" s="15" t="s">
        <v>525</v>
      </c>
      <c r="D24" s="16" t="s">
        <v>526</v>
      </c>
      <c r="E24" s="23">
        <v>3</v>
      </c>
      <c r="F24" s="18" t="s">
        <v>12</v>
      </c>
      <c r="G24" s="16" t="s">
        <v>527</v>
      </c>
      <c r="H24" s="16" t="s">
        <v>528</v>
      </c>
    </row>
    <row r="25" spans="1:8" ht="30" customHeight="1" x14ac:dyDescent="0.25">
      <c r="A25" s="19" t="s">
        <v>510</v>
      </c>
      <c r="B25" s="19" t="s">
        <v>511</v>
      </c>
      <c r="C25" s="20" t="s">
        <v>529</v>
      </c>
      <c r="D25" s="21" t="s">
        <v>530</v>
      </c>
      <c r="E25" s="23">
        <v>3</v>
      </c>
      <c r="F25" s="18" t="s">
        <v>20</v>
      </c>
      <c r="G25" s="21" t="s">
        <v>531</v>
      </c>
      <c r="H25" s="21"/>
    </row>
    <row r="26" spans="1:8" ht="30" customHeight="1" x14ac:dyDescent="0.25">
      <c r="A26" s="14" t="s">
        <v>510</v>
      </c>
      <c r="B26" s="14" t="s">
        <v>511</v>
      </c>
      <c r="C26" s="15" t="s">
        <v>532</v>
      </c>
      <c r="D26" s="16" t="s">
        <v>533</v>
      </c>
      <c r="E26" s="23">
        <v>3</v>
      </c>
      <c r="F26" s="18" t="s">
        <v>12</v>
      </c>
      <c r="G26" s="16" t="s">
        <v>534</v>
      </c>
      <c r="H26" s="16" t="s">
        <v>535</v>
      </c>
    </row>
    <row r="27" spans="1:8" ht="30" customHeight="1" x14ac:dyDescent="0.25">
      <c r="A27" s="19" t="s">
        <v>510</v>
      </c>
      <c r="B27" s="19" t="s">
        <v>511</v>
      </c>
      <c r="C27" s="20" t="s">
        <v>536</v>
      </c>
      <c r="D27" s="21" t="s">
        <v>537</v>
      </c>
      <c r="E27" s="23">
        <v>3</v>
      </c>
      <c r="F27" s="18" t="s">
        <v>418</v>
      </c>
      <c r="G27" s="21" t="s">
        <v>538</v>
      </c>
      <c r="H27" s="21" t="s">
        <v>539</v>
      </c>
    </row>
    <row r="28" spans="1:8" ht="18" customHeight="1" x14ac:dyDescent="0.25">
      <c r="A28" s="13" t="s">
        <v>540</v>
      </c>
      <c r="B28" s="13" t="s">
        <v>541</v>
      </c>
      <c r="C28" s="13"/>
      <c r="D28" s="13"/>
      <c r="E28" s="13"/>
      <c r="F28" s="13"/>
      <c r="G28" s="13"/>
      <c r="H28" s="13"/>
    </row>
    <row r="29" spans="1:8" ht="30" customHeight="1" x14ac:dyDescent="0.25">
      <c r="A29" s="14" t="s">
        <v>540</v>
      </c>
      <c r="B29" s="14" t="s">
        <v>541</v>
      </c>
      <c r="C29" s="15" t="s">
        <v>542</v>
      </c>
      <c r="D29" s="16" t="s">
        <v>543</v>
      </c>
      <c r="E29" s="22">
        <v>1</v>
      </c>
      <c r="F29" s="18" t="s">
        <v>20</v>
      </c>
      <c r="G29" s="16" t="s">
        <v>1255</v>
      </c>
      <c r="H29" s="16" t="s">
        <v>544</v>
      </c>
    </row>
    <row r="30" spans="1:8" ht="30" customHeight="1" x14ac:dyDescent="0.25">
      <c r="A30" s="19" t="s">
        <v>540</v>
      </c>
      <c r="B30" s="19" t="s">
        <v>541</v>
      </c>
      <c r="C30" s="20" t="s">
        <v>545</v>
      </c>
      <c r="D30" s="21" t="s">
        <v>546</v>
      </c>
      <c r="E30" s="22">
        <v>1</v>
      </c>
      <c r="F30" s="18" t="s">
        <v>20</v>
      </c>
      <c r="G30" s="21" t="s">
        <v>547</v>
      </c>
      <c r="H30" s="21"/>
    </row>
    <row r="31" spans="1:8" ht="30" customHeight="1" x14ac:dyDescent="0.25">
      <c r="A31" s="14" t="s">
        <v>540</v>
      </c>
      <c r="B31" s="14" t="s">
        <v>541</v>
      </c>
      <c r="C31" s="15" t="s">
        <v>548</v>
      </c>
      <c r="D31" s="16" t="s">
        <v>549</v>
      </c>
      <c r="E31" s="17">
        <v>2</v>
      </c>
      <c r="F31" s="18" t="s">
        <v>12</v>
      </c>
      <c r="G31" s="16" t="s">
        <v>550</v>
      </c>
      <c r="H31" s="16" t="s">
        <v>551</v>
      </c>
    </row>
    <row r="32" spans="1:8" ht="30" customHeight="1" x14ac:dyDescent="0.25">
      <c r="A32" s="19" t="s">
        <v>540</v>
      </c>
      <c r="B32" s="19" t="s">
        <v>541</v>
      </c>
      <c r="C32" s="20" t="s">
        <v>552</v>
      </c>
      <c r="D32" s="21" t="s">
        <v>553</v>
      </c>
      <c r="E32" s="17">
        <v>2</v>
      </c>
      <c r="F32" s="18" t="s">
        <v>20</v>
      </c>
      <c r="G32" s="21" t="s">
        <v>554</v>
      </c>
      <c r="H32" s="21"/>
    </row>
    <row r="33" spans="1:8" ht="30" customHeight="1" x14ac:dyDescent="0.25">
      <c r="A33" s="14" t="s">
        <v>540</v>
      </c>
      <c r="B33" s="14" t="s">
        <v>541</v>
      </c>
      <c r="C33" s="15" t="s">
        <v>555</v>
      </c>
      <c r="D33" s="16" t="s">
        <v>556</v>
      </c>
      <c r="E33" s="23">
        <v>3</v>
      </c>
      <c r="F33" s="18" t="s">
        <v>20</v>
      </c>
      <c r="G33" s="16" t="s">
        <v>557</v>
      </c>
      <c r="H33" s="16"/>
    </row>
    <row r="34" spans="1:8" ht="30" customHeight="1" x14ac:dyDescent="0.25">
      <c r="A34" s="19" t="s">
        <v>540</v>
      </c>
      <c r="B34" s="19" t="s">
        <v>541</v>
      </c>
      <c r="C34" s="20" t="s">
        <v>558</v>
      </c>
      <c r="D34" s="21" t="s">
        <v>559</v>
      </c>
      <c r="E34" s="23">
        <v>3</v>
      </c>
      <c r="F34" s="18" t="s">
        <v>12</v>
      </c>
      <c r="G34" s="21" t="s">
        <v>560</v>
      </c>
      <c r="H34" s="21" t="s">
        <v>561</v>
      </c>
    </row>
    <row r="35" spans="1:8" ht="18" customHeight="1" x14ac:dyDescent="0.25">
      <c r="A35" s="13" t="s">
        <v>562</v>
      </c>
      <c r="B35" s="13" t="s">
        <v>563</v>
      </c>
      <c r="C35" s="13"/>
      <c r="D35" s="13"/>
      <c r="E35" s="13"/>
      <c r="F35" s="13"/>
      <c r="G35" s="13"/>
      <c r="H35" s="13"/>
    </row>
    <row r="36" spans="1:8" ht="30" customHeight="1" x14ac:dyDescent="0.25">
      <c r="A36" s="14" t="s">
        <v>562</v>
      </c>
      <c r="B36" s="14" t="s">
        <v>563</v>
      </c>
      <c r="C36" s="15" t="s">
        <v>564</v>
      </c>
      <c r="D36" s="16" t="s">
        <v>565</v>
      </c>
      <c r="E36" s="17">
        <v>2</v>
      </c>
      <c r="F36" s="18" t="s">
        <v>20</v>
      </c>
      <c r="G36" s="16" t="s">
        <v>566</v>
      </c>
      <c r="H36" s="16"/>
    </row>
    <row r="37" spans="1:8" ht="30" customHeight="1" x14ac:dyDescent="0.25">
      <c r="A37" s="19" t="s">
        <v>562</v>
      </c>
      <c r="B37" s="19" t="s">
        <v>563</v>
      </c>
      <c r="C37" s="20" t="s">
        <v>567</v>
      </c>
      <c r="D37" s="21" t="s">
        <v>568</v>
      </c>
      <c r="E37" s="17">
        <v>2</v>
      </c>
      <c r="F37" s="18" t="s">
        <v>20</v>
      </c>
      <c r="G37" s="21" t="s">
        <v>566</v>
      </c>
      <c r="H37" s="21"/>
    </row>
    <row r="38" spans="1:8" ht="30" customHeight="1" x14ac:dyDescent="0.25">
      <c r="A38" s="14" t="s">
        <v>562</v>
      </c>
      <c r="B38" s="14" t="s">
        <v>563</v>
      </c>
      <c r="C38" s="15" t="s">
        <v>569</v>
      </c>
      <c r="D38" s="16" t="s">
        <v>570</v>
      </c>
      <c r="E38" s="17">
        <v>2</v>
      </c>
      <c r="F38" s="18" t="s">
        <v>20</v>
      </c>
      <c r="G38" s="16" t="s">
        <v>566</v>
      </c>
      <c r="H38" s="16"/>
    </row>
    <row r="39" spans="1:8" ht="30" customHeight="1" x14ac:dyDescent="0.25">
      <c r="A39" s="19" t="s">
        <v>562</v>
      </c>
      <c r="B39" s="19" t="s">
        <v>563</v>
      </c>
      <c r="C39" s="20" t="s">
        <v>571</v>
      </c>
      <c r="D39" s="21" t="s">
        <v>572</v>
      </c>
      <c r="E39" s="17">
        <v>2</v>
      </c>
      <c r="F39" s="18" t="s">
        <v>20</v>
      </c>
      <c r="G39" s="21" t="s">
        <v>566</v>
      </c>
      <c r="H39" s="21"/>
    </row>
    <row r="40" spans="1:8" ht="30" customHeight="1" x14ac:dyDescent="0.25">
      <c r="A40" s="14" t="s">
        <v>562</v>
      </c>
      <c r="B40" s="14" t="s">
        <v>563</v>
      </c>
      <c r="C40" s="15" t="s">
        <v>573</v>
      </c>
      <c r="D40" s="16" t="s">
        <v>574</v>
      </c>
      <c r="E40" s="17">
        <v>2</v>
      </c>
      <c r="F40" s="18" t="s">
        <v>20</v>
      </c>
      <c r="G40" s="16" t="s">
        <v>566</v>
      </c>
      <c r="H40" s="16"/>
    </row>
    <row r="41" spans="1:8" ht="30" customHeight="1" x14ac:dyDescent="0.25">
      <c r="A41" s="19" t="s">
        <v>562</v>
      </c>
      <c r="B41" s="19" t="s">
        <v>563</v>
      </c>
      <c r="C41" s="20" t="s">
        <v>575</v>
      </c>
      <c r="D41" s="21" t="s">
        <v>576</v>
      </c>
      <c r="E41" s="23">
        <v>3</v>
      </c>
      <c r="F41" s="18" t="s">
        <v>20</v>
      </c>
      <c r="G41" s="21" t="s">
        <v>554</v>
      </c>
      <c r="H41" s="21"/>
    </row>
    <row r="42" spans="1:8" ht="30" customHeight="1" x14ac:dyDescent="0.25">
      <c r="A42" s="14" t="s">
        <v>562</v>
      </c>
      <c r="B42" s="14" t="s">
        <v>563</v>
      </c>
      <c r="C42" s="15" t="s">
        <v>577</v>
      </c>
      <c r="D42" s="16" t="s">
        <v>578</v>
      </c>
      <c r="E42" s="23">
        <v>3</v>
      </c>
      <c r="F42" s="18" t="s">
        <v>20</v>
      </c>
      <c r="G42" s="16" t="s">
        <v>579</v>
      </c>
      <c r="H42" s="16"/>
    </row>
    <row r="43" spans="1:8" ht="30" customHeight="1" x14ac:dyDescent="0.25">
      <c r="A43" s="19" t="s">
        <v>562</v>
      </c>
      <c r="B43" s="19" t="s">
        <v>563</v>
      </c>
      <c r="C43" s="20" t="s">
        <v>580</v>
      </c>
      <c r="D43" s="21" t="s">
        <v>581</v>
      </c>
      <c r="E43" s="23">
        <v>3</v>
      </c>
      <c r="F43" s="18" t="s">
        <v>20</v>
      </c>
      <c r="G43" s="21" t="s">
        <v>582</v>
      </c>
      <c r="H43" s="21"/>
    </row>
    <row r="44" spans="1:8" ht="18" customHeight="1" x14ac:dyDescent="0.25">
      <c r="A44" s="13" t="s">
        <v>583</v>
      </c>
      <c r="B44" s="13" t="s">
        <v>584</v>
      </c>
      <c r="C44" s="13"/>
      <c r="D44" s="13"/>
      <c r="E44" s="13"/>
      <c r="F44" s="13"/>
      <c r="G44" s="13"/>
      <c r="H44" s="13"/>
    </row>
    <row r="45" spans="1:8" ht="30" customHeight="1" x14ac:dyDescent="0.25">
      <c r="A45" s="14" t="s">
        <v>583</v>
      </c>
      <c r="B45" s="14" t="s">
        <v>584</v>
      </c>
      <c r="C45" s="15" t="s">
        <v>585</v>
      </c>
      <c r="D45" s="16" t="s">
        <v>586</v>
      </c>
      <c r="E45" s="17">
        <v>2</v>
      </c>
      <c r="F45" s="18" t="s">
        <v>20</v>
      </c>
      <c r="G45" s="16" t="s">
        <v>587</v>
      </c>
      <c r="H45" s="16"/>
    </row>
    <row r="46" spans="1:8" ht="30" customHeight="1" x14ac:dyDescent="0.25">
      <c r="A46" s="19" t="s">
        <v>583</v>
      </c>
      <c r="B46" s="19" t="s">
        <v>584</v>
      </c>
      <c r="C46" s="20" t="s">
        <v>588</v>
      </c>
      <c r="D46" s="21" t="s">
        <v>589</v>
      </c>
      <c r="E46" s="17">
        <v>2</v>
      </c>
      <c r="F46" s="18" t="s">
        <v>20</v>
      </c>
      <c r="G46" s="21" t="s">
        <v>587</v>
      </c>
      <c r="H46" s="21"/>
    </row>
    <row r="47" spans="1:8" ht="30" customHeight="1" x14ac:dyDescent="0.25">
      <c r="A47" s="14" t="s">
        <v>583</v>
      </c>
      <c r="B47" s="14" t="s">
        <v>584</v>
      </c>
      <c r="C47" s="15" t="s">
        <v>590</v>
      </c>
      <c r="D47" s="16" t="s">
        <v>591</v>
      </c>
      <c r="E47" s="17">
        <v>2</v>
      </c>
      <c r="F47" s="18" t="s">
        <v>20</v>
      </c>
      <c r="G47" s="16" t="s">
        <v>587</v>
      </c>
      <c r="H47" s="16"/>
    </row>
    <row r="48" spans="1:8" ht="30" customHeight="1" x14ac:dyDescent="0.25">
      <c r="A48" s="19" t="s">
        <v>583</v>
      </c>
      <c r="B48" s="19" t="s">
        <v>584</v>
      </c>
      <c r="C48" s="20" t="s">
        <v>592</v>
      </c>
      <c r="D48" s="21" t="s">
        <v>593</v>
      </c>
      <c r="E48" s="23">
        <v>3</v>
      </c>
      <c r="F48" s="18" t="s">
        <v>20</v>
      </c>
      <c r="G48" s="21" t="s">
        <v>594</v>
      </c>
      <c r="H48" s="21"/>
    </row>
    <row r="49" spans="1:8" ht="18" customHeight="1" x14ac:dyDescent="0.25">
      <c r="A49" s="13" t="s">
        <v>595</v>
      </c>
      <c r="B49" s="13" t="s">
        <v>596</v>
      </c>
      <c r="C49" s="13"/>
      <c r="D49" s="13"/>
      <c r="E49" s="13"/>
      <c r="F49" s="13"/>
      <c r="G49" s="13"/>
      <c r="H49" s="13"/>
    </row>
    <row r="50" spans="1:8" ht="30" customHeight="1" x14ac:dyDescent="0.25">
      <c r="A50" s="14" t="s">
        <v>595</v>
      </c>
      <c r="B50" s="14" t="s">
        <v>596</v>
      </c>
      <c r="C50" s="15" t="s">
        <v>597</v>
      </c>
      <c r="D50" s="16" t="s">
        <v>598</v>
      </c>
      <c r="E50" s="23">
        <v>3</v>
      </c>
      <c r="F50" s="18" t="s">
        <v>20</v>
      </c>
      <c r="G50" s="16" t="s">
        <v>599</v>
      </c>
      <c r="H50" s="16"/>
    </row>
    <row r="51" spans="1:8" ht="30" customHeight="1" x14ac:dyDescent="0.25">
      <c r="A51" s="19" t="s">
        <v>595</v>
      </c>
      <c r="B51" s="19" t="s">
        <v>596</v>
      </c>
      <c r="C51" s="20" t="s">
        <v>600</v>
      </c>
      <c r="D51" s="21" t="s">
        <v>601</v>
      </c>
      <c r="E51" s="23">
        <v>3</v>
      </c>
      <c r="F51" s="18" t="s">
        <v>20</v>
      </c>
      <c r="G51" s="21" t="s">
        <v>602</v>
      </c>
      <c r="H51" s="21"/>
    </row>
    <row r="52" spans="1:8" ht="18" customHeight="1" x14ac:dyDescent="0.25">
      <c r="A52" s="13" t="s">
        <v>603</v>
      </c>
      <c r="B52" s="13" t="s">
        <v>604</v>
      </c>
      <c r="C52" s="13"/>
      <c r="D52" s="13"/>
      <c r="E52" s="13"/>
      <c r="F52" s="13"/>
      <c r="G52" s="13"/>
      <c r="H52" s="13"/>
    </row>
    <row r="53" spans="1:8" ht="30" customHeight="1" x14ac:dyDescent="0.25">
      <c r="A53" s="14" t="s">
        <v>603</v>
      </c>
      <c r="B53" s="14" t="s">
        <v>604</v>
      </c>
      <c r="C53" s="15" t="s">
        <v>605</v>
      </c>
      <c r="D53" s="16" t="s">
        <v>606</v>
      </c>
      <c r="E53" s="17">
        <v>2</v>
      </c>
      <c r="F53" s="18" t="s">
        <v>20</v>
      </c>
      <c r="G53" s="16" t="s">
        <v>607</v>
      </c>
      <c r="H53" s="16"/>
    </row>
    <row r="54" spans="1:8" ht="30" customHeight="1" x14ac:dyDescent="0.25">
      <c r="A54" s="19" t="s">
        <v>603</v>
      </c>
      <c r="B54" s="19" t="s">
        <v>604</v>
      </c>
      <c r="C54" s="20" t="s">
        <v>608</v>
      </c>
      <c r="D54" s="21" t="s">
        <v>609</v>
      </c>
      <c r="E54" s="17">
        <v>2</v>
      </c>
      <c r="F54" s="18" t="s">
        <v>20</v>
      </c>
      <c r="G54" s="21" t="s">
        <v>610</v>
      </c>
      <c r="H54" s="21"/>
    </row>
    <row r="55" spans="1:8" ht="30" customHeight="1" x14ac:dyDescent="0.25">
      <c r="A55" s="14" t="s">
        <v>603</v>
      </c>
      <c r="B55" s="14" t="s">
        <v>604</v>
      </c>
      <c r="C55" s="15" t="s">
        <v>611</v>
      </c>
      <c r="D55" s="16" t="s">
        <v>612</v>
      </c>
      <c r="E55" s="17">
        <v>2</v>
      </c>
      <c r="F55" s="18" t="s">
        <v>20</v>
      </c>
      <c r="G55" s="16" t="s">
        <v>613</v>
      </c>
      <c r="H55" s="16"/>
    </row>
    <row r="56" spans="1:8" ht="30" customHeight="1" x14ac:dyDescent="0.25">
      <c r="A56" s="19" t="s">
        <v>603</v>
      </c>
      <c r="B56" s="19" t="s">
        <v>604</v>
      </c>
      <c r="C56" s="20" t="s">
        <v>614</v>
      </c>
      <c r="D56" s="21" t="s">
        <v>615</v>
      </c>
      <c r="E56" s="17">
        <v>2</v>
      </c>
      <c r="F56" s="18" t="s">
        <v>20</v>
      </c>
      <c r="G56" s="21" t="s">
        <v>616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H14" sqref="H14"/>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617</v>
      </c>
      <c r="B2" s="13" t="s">
        <v>618</v>
      </c>
      <c r="C2" s="13"/>
      <c r="D2" s="13"/>
      <c r="E2" s="13"/>
      <c r="F2" s="13"/>
      <c r="G2" s="13"/>
      <c r="H2" s="13"/>
    </row>
    <row r="3" spans="1:8" ht="30" customHeight="1" x14ac:dyDescent="0.25">
      <c r="A3" s="14" t="s">
        <v>617</v>
      </c>
      <c r="B3" s="14" t="s">
        <v>618</v>
      </c>
      <c r="C3" s="15" t="s">
        <v>619</v>
      </c>
      <c r="D3" s="16" t="s">
        <v>620</v>
      </c>
      <c r="E3" s="17">
        <v>2</v>
      </c>
      <c r="F3" s="18" t="s">
        <v>418</v>
      </c>
      <c r="G3" s="16" t="s">
        <v>1256</v>
      </c>
      <c r="H3" s="16" t="s">
        <v>621</v>
      </c>
    </row>
    <row r="4" spans="1:8" ht="30" customHeight="1" x14ac:dyDescent="0.25">
      <c r="A4" s="19" t="s">
        <v>617</v>
      </c>
      <c r="B4" s="19" t="s">
        <v>618</v>
      </c>
      <c r="C4" s="20" t="s">
        <v>622</v>
      </c>
      <c r="D4" s="21" t="s">
        <v>623</v>
      </c>
      <c r="E4" s="17">
        <v>2</v>
      </c>
      <c r="F4" s="18" t="s">
        <v>12</v>
      </c>
      <c r="G4" s="21" t="s">
        <v>624</v>
      </c>
      <c r="H4" s="21" t="s">
        <v>625</v>
      </c>
    </row>
    <row r="5" spans="1:8" ht="30" customHeight="1" x14ac:dyDescent="0.25">
      <c r="A5" s="14" t="s">
        <v>617</v>
      </c>
      <c r="B5" s="14" t="s">
        <v>618</v>
      </c>
      <c r="C5" s="15" t="s">
        <v>626</v>
      </c>
      <c r="D5" s="16" t="s">
        <v>627</v>
      </c>
      <c r="E5" s="17">
        <v>2</v>
      </c>
      <c r="F5" s="18" t="s">
        <v>20</v>
      </c>
      <c r="G5" s="16" t="s">
        <v>628</v>
      </c>
      <c r="H5" s="16"/>
    </row>
    <row r="6" spans="1:8" ht="18" customHeight="1" x14ac:dyDescent="0.25">
      <c r="A6" s="13" t="s">
        <v>629</v>
      </c>
      <c r="B6" s="13" t="s">
        <v>630</v>
      </c>
      <c r="C6" s="13"/>
      <c r="D6" s="13"/>
      <c r="E6" s="13"/>
      <c r="F6" s="13"/>
      <c r="G6" s="13"/>
      <c r="H6" s="13"/>
    </row>
    <row r="7" spans="1:8" ht="30" customHeight="1" x14ac:dyDescent="0.25">
      <c r="A7" s="14" t="s">
        <v>629</v>
      </c>
      <c r="B7" s="14" t="s">
        <v>630</v>
      </c>
      <c r="C7" s="15" t="s">
        <v>631</v>
      </c>
      <c r="D7" s="16" t="s">
        <v>632</v>
      </c>
      <c r="E7" s="22">
        <v>1</v>
      </c>
      <c r="F7" s="18" t="s">
        <v>418</v>
      </c>
      <c r="G7" s="16" t="s">
        <v>1257</v>
      </c>
      <c r="H7" s="16" t="s">
        <v>633</v>
      </c>
    </row>
    <row r="8" spans="1:8" ht="30" customHeight="1" x14ac:dyDescent="0.25">
      <c r="A8" s="19" t="s">
        <v>629</v>
      </c>
      <c r="B8" s="19" t="s">
        <v>630</v>
      </c>
      <c r="C8" s="20" t="s">
        <v>634</v>
      </c>
      <c r="D8" s="21" t="s">
        <v>635</v>
      </c>
      <c r="E8" s="22">
        <v>1</v>
      </c>
      <c r="F8" s="18" t="s">
        <v>418</v>
      </c>
      <c r="G8" s="21" t="s">
        <v>1258</v>
      </c>
      <c r="H8" s="21" t="s">
        <v>29</v>
      </c>
    </row>
    <row r="9" spans="1:8" ht="30" customHeight="1" x14ac:dyDescent="0.25">
      <c r="A9" s="14" t="s">
        <v>629</v>
      </c>
      <c r="B9" s="14" t="s">
        <v>630</v>
      </c>
      <c r="C9" s="15" t="s">
        <v>636</v>
      </c>
      <c r="D9" s="16" t="s">
        <v>637</v>
      </c>
      <c r="E9" s="22">
        <v>1</v>
      </c>
      <c r="F9" s="18" t="s">
        <v>20</v>
      </c>
      <c r="G9" s="16" t="s">
        <v>638</v>
      </c>
      <c r="H9" s="16"/>
    </row>
    <row r="10" spans="1:8" ht="30" customHeight="1" x14ac:dyDescent="0.25">
      <c r="A10" s="19" t="s">
        <v>629</v>
      </c>
      <c r="B10" s="19" t="s">
        <v>630</v>
      </c>
      <c r="C10" s="20" t="s">
        <v>639</v>
      </c>
      <c r="D10" s="21" t="s">
        <v>640</v>
      </c>
      <c r="E10" s="22">
        <v>1</v>
      </c>
      <c r="F10" s="18" t="s">
        <v>710</v>
      </c>
      <c r="G10" s="21" t="s">
        <v>1259</v>
      </c>
      <c r="H10" s="21" t="s">
        <v>29</v>
      </c>
    </row>
    <row r="11" spans="1:8" ht="18" customHeight="1" x14ac:dyDescent="0.25">
      <c r="A11" s="13" t="s">
        <v>641</v>
      </c>
      <c r="B11" s="13" t="s">
        <v>642</v>
      </c>
      <c r="C11" s="13"/>
      <c r="D11" s="13"/>
      <c r="E11" s="13"/>
      <c r="F11" s="13"/>
      <c r="G11" s="13"/>
      <c r="H11" s="13"/>
    </row>
    <row r="12" spans="1:8" ht="30" customHeight="1" x14ac:dyDescent="0.25">
      <c r="A12" s="14" t="s">
        <v>641</v>
      </c>
      <c r="B12" s="14" t="s">
        <v>642</v>
      </c>
      <c r="C12" s="15" t="s">
        <v>643</v>
      </c>
      <c r="D12" s="16" t="s">
        <v>644</v>
      </c>
      <c r="E12" s="17">
        <v>2</v>
      </c>
      <c r="F12" s="18" t="s">
        <v>418</v>
      </c>
      <c r="G12" s="16" t="s">
        <v>645</v>
      </c>
      <c r="H12" s="16" t="s">
        <v>646</v>
      </c>
    </row>
    <row r="13" spans="1:8" ht="30" customHeight="1" x14ac:dyDescent="0.25">
      <c r="A13" s="19" t="s">
        <v>641</v>
      </c>
      <c r="B13" s="19" t="s">
        <v>642</v>
      </c>
      <c r="C13" s="20" t="s">
        <v>647</v>
      </c>
      <c r="D13" s="21" t="s">
        <v>648</v>
      </c>
      <c r="E13" s="17">
        <v>2</v>
      </c>
      <c r="F13" s="18" t="s">
        <v>418</v>
      </c>
      <c r="G13" s="21" t="s">
        <v>649</v>
      </c>
      <c r="H13" s="21" t="s">
        <v>621</v>
      </c>
    </row>
    <row r="14" spans="1:8" ht="18" customHeight="1" x14ac:dyDescent="0.25">
      <c r="A14" s="13" t="s">
        <v>650</v>
      </c>
      <c r="B14" s="13" t="s">
        <v>651</v>
      </c>
      <c r="C14" s="13"/>
      <c r="D14" s="13"/>
      <c r="E14" s="13"/>
      <c r="F14" s="13"/>
      <c r="G14" s="13"/>
      <c r="H14" s="13"/>
    </row>
    <row r="15" spans="1:8" ht="30" customHeight="1" x14ac:dyDescent="0.25">
      <c r="A15" s="14" t="s">
        <v>650</v>
      </c>
      <c r="B15" s="14" t="s">
        <v>651</v>
      </c>
      <c r="C15" s="15" t="s">
        <v>652</v>
      </c>
      <c r="D15" s="16" t="s">
        <v>653</v>
      </c>
      <c r="E15" s="22">
        <v>1</v>
      </c>
      <c r="F15" s="18" t="s">
        <v>418</v>
      </c>
      <c r="G15" s="16" t="s">
        <v>654</v>
      </c>
      <c r="H15" s="16" t="s">
        <v>655</v>
      </c>
    </row>
    <row r="16" spans="1:8" ht="30" customHeight="1" x14ac:dyDescent="0.25">
      <c r="A16" s="19" t="s">
        <v>650</v>
      </c>
      <c r="B16" s="19" t="s">
        <v>651</v>
      </c>
      <c r="C16" s="20" t="s">
        <v>656</v>
      </c>
      <c r="D16" s="21" t="s">
        <v>657</v>
      </c>
      <c r="E16" s="22">
        <v>1</v>
      </c>
      <c r="F16" s="18" t="s">
        <v>12</v>
      </c>
      <c r="G16" s="21" t="s">
        <v>658</v>
      </c>
      <c r="H16" s="21" t="s">
        <v>659</v>
      </c>
    </row>
    <row r="17" spans="1:8" ht="30" customHeight="1" x14ac:dyDescent="0.25">
      <c r="A17" s="14" t="s">
        <v>650</v>
      </c>
      <c r="B17" s="14" t="s">
        <v>651</v>
      </c>
      <c r="C17" s="15" t="s">
        <v>660</v>
      </c>
      <c r="D17" s="16" t="s">
        <v>661</v>
      </c>
      <c r="E17" s="17">
        <v>2</v>
      </c>
      <c r="F17" s="18" t="s">
        <v>12</v>
      </c>
      <c r="G17" s="16" t="s">
        <v>662</v>
      </c>
      <c r="H17" s="16" t="s">
        <v>663</v>
      </c>
    </row>
    <row r="18" spans="1:8" ht="30" customHeight="1" x14ac:dyDescent="0.25">
      <c r="A18" s="19" t="s">
        <v>650</v>
      </c>
      <c r="B18" s="19" t="s">
        <v>651</v>
      </c>
      <c r="C18" s="20" t="s">
        <v>664</v>
      </c>
      <c r="D18" s="21" t="s">
        <v>665</v>
      </c>
      <c r="E18" s="17">
        <v>2</v>
      </c>
      <c r="F18" s="18" t="s">
        <v>20</v>
      </c>
      <c r="G18" s="21" t="s">
        <v>666</v>
      </c>
      <c r="H18" s="21"/>
    </row>
    <row r="19" spans="1:8" ht="30" customHeight="1" x14ac:dyDescent="0.25">
      <c r="A19" s="14" t="s">
        <v>650</v>
      </c>
      <c r="B19" s="14" t="s">
        <v>651</v>
      </c>
      <c r="C19" s="15" t="s">
        <v>667</v>
      </c>
      <c r="D19" s="16" t="s">
        <v>668</v>
      </c>
      <c r="E19" s="17">
        <v>2</v>
      </c>
      <c r="F19" s="18" t="s">
        <v>12</v>
      </c>
      <c r="G19" s="16" t="s">
        <v>669</v>
      </c>
      <c r="H19" s="16" t="s">
        <v>670</v>
      </c>
    </row>
    <row r="20" spans="1:8" ht="18" customHeight="1" x14ac:dyDescent="0.25">
      <c r="A20" s="13" t="s">
        <v>671</v>
      </c>
      <c r="B20" s="13" t="s">
        <v>672</v>
      </c>
      <c r="C20" s="13"/>
      <c r="D20" s="13"/>
      <c r="E20" s="13"/>
      <c r="F20" s="13"/>
      <c r="G20" s="13"/>
      <c r="H20" s="13"/>
    </row>
    <row r="21" spans="1:8" ht="30" customHeight="1" x14ac:dyDescent="0.25">
      <c r="A21" s="14" t="s">
        <v>671</v>
      </c>
      <c r="B21" s="14" t="s">
        <v>672</v>
      </c>
      <c r="C21" s="15" t="s">
        <v>673</v>
      </c>
      <c r="D21" s="16" t="s">
        <v>674</v>
      </c>
      <c r="E21" s="17">
        <v>2</v>
      </c>
      <c r="F21" s="18" t="s">
        <v>12</v>
      </c>
      <c r="G21" s="16" t="s">
        <v>675</v>
      </c>
      <c r="H21" s="16" t="s">
        <v>468</v>
      </c>
    </row>
    <row r="22" spans="1:8" ht="30" customHeight="1" x14ac:dyDescent="0.25">
      <c r="A22" s="19" t="s">
        <v>671</v>
      </c>
      <c r="B22" s="19" t="s">
        <v>672</v>
      </c>
      <c r="C22" s="20" t="s">
        <v>676</v>
      </c>
      <c r="D22" s="21" t="s">
        <v>677</v>
      </c>
      <c r="E22" s="17">
        <v>2</v>
      </c>
      <c r="F22" s="18" t="s">
        <v>12</v>
      </c>
      <c r="G22" s="21" t="s">
        <v>678</v>
      </c>
      <c r="H22" s="21" t="s">
        <v>679</v>
      </c>
    </row>
    <row r="23" spans="1:8" ht="30" customHeight="1" x14ac:dyDescent="0.25">
      <c r="A23" s="14" t="s">
        <v>671</v>
      </c>
      <c r="B23" s="14" t="s">
        <v>672</v>
      </c>
      <c r="C23" s="15" t="s">
        <v>680</v>
      </c>
      <c r="D23" s="16" t="s">
        <v>681</v>
      </c>
      <c r="E23" s="23">
        <v>3</v>
      </c>
      <c r="F23" s="18" t="s">
        <v>12</v>
      </c>
      <c r="G23" s="16" t="s">
        <v>682</v>
      </c>
      <c r="H23" s="16" t="s">
        <v>683</v>
      </c>
    </row>
    <row r="24" spans="1:8" ht="18" customHeight="1" x14ac:dyDescent="0.25">
      <c r="A24" s="13" t="s">
        <v>684</v>
      </c>
      <c r="B24" s="13" t="s">
        <v>685</v>
      </c>
      <c r="C24" s="13"/>
      <c r="D24" s="13"/>
      <c r="E24" s="13"/>
      <c r="F24" s="13"/>
      <c r="G24" s="13"/>
      <c r="H24" s="13"/>
    </row>
    <row r="25" spans="1:8" ht="30" customHeight="1" x14ac:dyDescent="0.25">
      <c r="A25" s="14" t="s">
        <v>684</v>
      </c>
      <c r="B25" s="14" t="s">
        <v>685</v>
      </c>
      <c r="C25" s="15" t="s">
        <v>686</v>
      </c>
      <c r="D25" s="16" t="s">
        <v>687</v>
      </c>
      <c r="E25" s="17">
        <v>2</v>
      </c>
      <c r="F25" s="18" t="s">
        <v>20</v>
      </c>
      <c r="G25" s="16" t="s">
        <v>688</v>
      </c>
      <c r="H25" s="16"/>
    </row>
    <row r="26" spans="1:8" ht="30" customHeight="1" x14ac:dyDescent="0.25">
      <c r="A26" s="19" t="s">
        <v>684</v>
      </c>
      <c r="B26" s="19" t="s">
        <v>685</v>
      </c>
      <c r="C26" s="20" t="s">
        <v>689</v>
      </c>
      <c r="D26" s="21" t="s">
        <v>690</v>
      </c>
      <c r="E26" s="17">
        <v>2</v>
      </c>
      <c r="F26" s="18" t="s">
        <v>20</v>
      </c>
      <c r="G26" s="21" t="s">
        <v>628</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D1" zoomScale="75" zoomScaleNormal="75" workbookViewId="0">
      <pane ySplit="1" topLeftCell="A2" activePane="bottomLeft" state="frozen"/>
      <selection pane="bottomLeft" activeCell="H10" sqref="H10"/>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691</v>
      </c>
      <c r="B2" s="13" t="s">
        <v>692</v>
      </c>
      <c r="C2" s="13"/>
      <c r="D2" s="13"/>
      <c r="E2" s="13"/>
      <c r="F2" s="13"/>
      <c r="G2" s="13"/>
      <c r="H2" s="13"/>
    </row>
    <row r="3" spans="1:8" ht="30" customHeight="1" x14ac:dyDescent="0.25">
      <c r="A3" s="14" t="s">
        <v>691</v>
      </c>
      <c r="B3" s="14" t="s">
        <v>692</v>
      </c>
      <c r="C3" s="15" t="s">
        <v>693</v>
      </c>
      <c r="D3" s="16" t="s">
        <v>694</v>
      </c>
      <c r="E3" s="22">
        <v>1</v>
      </c>
      <c r="F3" s="18" t="s">
        <v>418</v>
      </c>
      <c r="G3" s="16" t="s">
        <v>695</v>
      </c>
      <c r="H3" s="16" t="s">
        <v>696</v>
      </c>
    </row>
    <row r="4" spans="1:8" ht="30" customHeight="1" x14ac:dyDescent="0.25">
      <c r="A4" s="19" t="s">
        <v>691</v>
      </c>
      <c r="B4" s="19" t="s">
        <v>692</v>
      </c>
      <c r="C4" s="20" t="s">
        <v>697</v>
      </c>
      <c r="D4" s="21" t="s">
        <v>698</v>
      </c>
      <c r="E4" s="17">
        <v>2</v>
      </c>
      <c r="F4" s="18" t="s">
        <v>710</v>
      </c>
      <c r="G4" s="21" t="s">
        <v>1260</v>
      </c>
      <c r="H4" s="21" t="s">
        <v>699</v>
      </c>
    </row>
    <row r="5" spans="1:8" ht="30" customHeight="1" x14ac:dyDescent="0.25">
      <c r="A5" s="14" t="s">
        <v>691</v>
      </c>
      <c r="B5" s="14" t="s">
        <v>692</v>
      </c>
      <c r="C5" s="15" t="s">
        <v>700</v>
      </c>
      <c r="D5" s="16" t="s">
        <v>701</v>
      </c>
      <c r="E5" s="23">
        <v>3</v>
      </c>
      <c r="F5" s="18" t="s">
        <v>20</v>
      </c>
      <c r="G5" s="16" t="s">
        <v>702</v>
      </c>
      <c r="H5" s="16"/>
    </row>
    <row r="6" spans="1:8" ht="30" customHeight="1" x14ac:dyDescent="0.25">
      <c r="A6" s="19" t="s">
        <v>691</v>
      </c>
      <c r="B6" s="19" t="s">
        <v>692</v>
      </c>
      <c r="C6" s="20" t="s">
        <v>703</v>
      </c>
      <c r="D6" s="21" t="s">
        <v>704</v>
      </c>
      <c r="E6" s="23">
        <v>3</v>
      </c>
      <c r="F6" s="18" t="s">
        <v>20</v>
      </c>
      <c r="G6" s="21" t="s">
        <v>705</v>
      </c>
      <c r="H6" s="21"/>
    </row>
    <row r="7" spans="1:8" ht="18" customHeight="1" x14ac:dyDescent="0.25">
      <c r="A7" s="13" t="s">
        <v>706</v>
      </c>
      <c r="B7" s="13" t="s">
        <v>707</v>
      </c>
      <c r="C7" s="13"/>
      <c r="D7" s="13"/>
      <c r="E7" s="13"/>
      <c r="F7" s="13"/>
      <c r="G7" s="13"/>
      <c r="H7" s="13"/>
    </row>
    <row r="8" spans="1:8" ht="30" customHeight="1" x14ac:dyDescent="0.25">
      <c r="A8" s="14" t="s">
        <v>706</v>
      </c>
      <c r="B8" s="14" t="s">
        <v>707</v>
      </c>
      <c r="C8" s="15" t="s">
        <v>708</v>
      </c>
      <c r="D8" s="16" t="s">
        <v>709</v>
      </c>
      <c r="E8" s="22">
        <v>1</v>
      </c>
      <c r="F8" s="18" t="s">
        <v>710</v>
      </c>
      <c r="G8" s="16" t="s">
        <v>711</v>
      </c>
      <c r="H8" s="16" t="s">
        <v>712</v>
      </c>
    </row>
    <row r="9" spans="1:8" ht="30" customHeight="1" x14ac:dyDescent="0.25">
      <c r="A9" s="19" t="s">
        <v>706</v>
      </c>
      <c r="B9" s="19" t="s">
        <v>707</v>
      </c>
      <c r="C9" s="20" t="s">
        <v>713</v>
      </c>
      <c r="D9" s="21" t="s">
        <v>714</v>
      </c>
      <c r="E9" s="22">
        <v>1</v>
      </c>
      <c r="F9" s="18" t="s">
        <v>418</v>
      </c>
      <c r="G9" s="21" t="s">
        <v>1261</v>
      </c>
      <c r="H9" s="21" t="s">
        <v>715</v>
      </c>
    </row>
    <row r="10" spans="1:8" ht="30" customHeight="1" x14ac:dyDescent="0.25">
      <c r="A10" s="14" t="s">
        <v>706</v>
      </c>
      <c r="B10" s="14" t="s">
        <v>707</v>
      </c>
      <c r="C10" s="15" t="s">
        <v>716</v>
      </c>
      <c r="D10" s="16" t="s">
        <v>717</v>
      </c>
      <c r="E10" s="17">
        <v>2</v>
      </c>
      <c r="F10" s="18" t="s">
        <v>418</v>
      </c>
      <c r="G10" s="16" t="s">
        <v>1262</v>
      </c>
      <c r="H10" s="16" t="s">
        <v>718</v>
      </c>
    </row>
    <row r="11" spans="1:8" ht="30" customHeight="1" x14ac:dyDescent="0.25">
      <c r="A11" s="19" t="s">
        <v>706</v>
      </c>
      <c r="B11" s="19" t="s">
        <v>707</v>
      </c>
      <c r="C11" s="20" t="s">
        <v>719</v>
      </c>
      <c r="D11" s="21" t="s">
        <v>720</v>
      </c>
      <c r="E11" s="23">
        <v>3</v>
      </c>
      <c r="F11" s="18" t="s">
        <v>20</v>
      </c>
      <c r="G11" s="21" t="s">
        <v>721</v>
      </c>
      <c r="H11" s="21"/>
    </row>
    <row r="12" spans="1:8" ht="18" customHeight="1" x14ac:dyDescent="0.25">
      <c r="A12" s="13" t="s">
        <v>722</v>
      </c>
      <c r="B12" s="13" t="s">
        <v>723</v>
      </c>
      <c r="C12" s="13"/>
      <c r="D12" s="13"/>
      <c r="E12" s="13"/>
      <c r="F12" s="13"/>
      <c r="G12" s="13"/>
      <c r="H12" s="13"/>
    </row>
    <row r="13" spans="1:8" ht="30" customHeight="1" x14ac:dyDescent="0.25">
      <c r="A13" s="14" t="s">
        <v>722</v>
      </c>
      <c r="B13" s="14" t="s">
        <v>723</v>
      </c>
      <c r="C13" s="15" t="s">
        <v>724</v>
      </c>
      <c r="D13" s="16" t="s">
        <v>725</v>
      </c>
      <c r="E13" s="22">
        <v>1</v>
      </c>
      <c r="F13" s="18" t="s">
        <v>418</v>
      </c>
      <c r="G13" s="16" t="s">
        <v>1263</v>
      </c>
      <c r="H13" s="16" t="s">
        <v>726</v>
      </c>
    </row>
    <row r="14" spans="1:8" ht="30" customHeight="1" x14ac:dyDescent="0.25">
      <c r="A14" s="19" t="s">
        <v>722</v>
      </c>
      <c r="B14" s="19" t="s">
        <v>723</v>
      </c>
      <c r="C14" s="20" t="s">
        <v>727</v>
      </c>
      <c r="D14" s="21" t="s">
        <v>728</v>
      </c>
      <c r="E14" s="23">
        <v>3</v>
      </c>
      <c r="F14" s="18" t="s">
        <v>710</v>
      </c>
      <c r="G14" s="21" t="s">
        <v>1264</v>
      </c>
      <c r="H14" s="21" t="s">
        <v>729</v>
      </c>
    </row>
    <row r="15" spans="1:8" ht="30" customHeight="1" x14ac:dyDescent="0.25">
      <c r="A15" s="14" t="s">
        <v>722</v>
      </c>
      <c r="B15" s="14" t="s">
        <v>723</v>
      </c>
      <c r="C15" s="15" t="s">
        <v>730</v>
      </c>
      <c r="D15" s="16" t="s">
        <v>731</v>
      </c>
      <c r="E15" s="23">
        <v>3</v>
      </c>
      <c r="F15" s="18" t="s">
        <v>418</v>
      </c>
      <c r="G15" s="16" t="s">
        <v>1265</v>
      </c>
      <c r="H15" s="16" t="s">
        <v>732</v>
      </c>
    </row>
    <row r="16" spans="1:8" ht="18" customHeight="1" x14ac:dyDescent="0.25">
      <c r="A16" s="13" t="s">
        <v>733</v>
      </c>
      <c r="B16" s="13" t="s">
        <v>734</v>
      </c>
      <c r="C16" s="13"/>
      <c r="D16" s="13"/>
      <c r="E16" s="13"/>
      <c r="F16" s="13"/>
      <c r="G16" s="13"/>
      <c r="H16" s="13"/>
    </row>
    <row r="17" spans="1:8" ht="30" customHeight="1" x14ac:dyDescent="0.25">
      <c r="A17" s="14" t="s">
        <v>733</v>
      </c>
      <c r="B17" s="14" t="s">
        <v>734</v>
      </c>
      <c r="C17" s="15" t="s">
        <v>735</v>
      </c>
      <c r="D17" s="16" t="s">
        <v>736</v>
      </c>
      <c r="E17" s="17">
        <v>2</v>
      </c>
      <c r="F17" s="18" t="s">
        <v>20</v>
      </c>
      <c r="G17" s="16" t="s">
        <v>737</v>
      </c>
      <c r="H17" s="16"/>
    </row>
    <row r="18" spans="1:8" ht="30" customHeight="1" x14ac:dyDescent="0.25">
      <c r="A18" s="19" t="s">
        <v>733</v>
      </c>
      <c r="B18" s="19" t="s">
        <v>734</v>
      </c>
      <c r="C18" s="20" t="s">
        <v>738</v>
      </c>
      <c r="D18" s="21" t="s">
        <v>739</v>
      </c>
      <c r="E18" s="23">
        <v>3</v>
      </c>
      <c r="F18" s="18" t="s">
        <v>12</v>
      </c>
      <c r="G18" s="21" t="s">
        <v>740</v>
      </c>
      <c r="H18" s="21" t="s">
        <v>696</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D1" zoomScale="75" zoomScaleNormal="75" workbookViewId="0">
      <pane ySplit="1" topLeftCell="A2" activePane="bottomLeft" state="frozen"/>
      <selection pane="bottomLeft" activeCell="H7" sqref="H7"/>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741</v>
      </c>
      <c r="B2" s="13" t="s">
        <v>742</v>
      </c>
      <c r="C2" s="13"/>
      <c r="D2" s="13"/>
      <c r="E2" s="13"/>
      <c r="F2" s="13"/>
      <c r="G2" s="13"/>
      <c r="H2" s="13"/>
    </row>
    <row r="3" spans="1:8" ht="30" customHeight="1" x14ac:dyDescent="0.25">
      <c r="A3" s="14" t="s">
        <v>741</v>
      </c>
      <c r="B3" s="14" t="s">
        <v>742</v>
      </c>
      <c r="C3" s="15" t="s">
        <v>743</v>
      </c>
      <c r="D3" s="16" t="s">
        <v>744</v>
      </c>
      <c r="E3" s="22">
        <v>1</v>
      </c>
      <c r="F3" s="18" t="s">
        <v>418</v>
      </c>
      <c r="G3" s="16" t="s">
        <v>1266</v>
      </c>
      <c r="H3" s="16" t="s">
        <v>745</v>
      </c>
    </row>
    <row r="4" spans="1:8" ht="30" customHeight="1" x14ac:dyDescent="0.25">
      <c r="A4" s="19" t="s">
        <v>741</v>
      </c>
      <c r="B4" s="19" t="s">
        <v>742</v>
      </c>
      <c r="C4" s="20" t="s">
        <v>746</v>
      </c>
      <c r="D4" s="21" t="s">
        <v>747</v>
      </c>
      <c r="E4" s="22">
        <v>1</v>
      </c>
      <c r="F4" s="18" t="s">
        <v>418</v>
      </c>
      <c r="G4" s="21" t="s">
        <v>1267</v>
      </c>
      <c r="H4" s="21" t="s">
        <v>748</v>
      </c>
    </row>
    <row r="5" spans="1:8" ht="30" customHeight="1" x14ac:dyDescent="0.25">
      <c r="A5" s="14" t="s">
        <v>741</v>
      </c>
      <c r="B5" s="14" t="s">
        <v>742</v>
      </c>
      <c r="C5" s="15" t="s">
        <v>749</v>
      </c>
      <c r="D5" s="16" t="s">
        <v>750</v>
      </c>
      <c r="E5" s="22">
        <v>1</v>
      </c>
      <c r="F5" s="18" t="s">
        <v>418</v>
      </c>
      <c r="G5" s="16" t="s">
        <v>1268</v>
      </c>
      <c r="H5" s="16" t="s">
        <v>751</v>
      </c>
    </row>
    <row r="6" spans="1:8" ht="18" customHeight="1" x14ac:dyDescent="0.25">
      <c r="A6" s="13" t="s">
        <v>752</v>
      </c>
      <c r="B6" s="13" t="s">
        <v>753</v>
      </c>
      <c r="C6" s="13"/>
      <c r="D6" s="13"/>
      <c r="E6" s="13"/>
      <c r="F6" s="13"/>
      <c r="G6" s="13"/>
      <c r="H6" s="13"/>
    </row>
    <row r="7" spans="1:8" ht="30" customHeight="1" x14ac:dyDescent="0.25">
      <c r="A7" s="14" t="s">
        <v>752</v>
      </c>
      <c r="B7" s="14" t="s">
        <v>753</v>
      </c>
      <c r="C7" s="15" t="s">
        <v>754</v>
      </c>
      <c r="D7" s="16" t="s">
        <v>755</v>
      </c>
      <c r="E7" s="22">
        <v>1</v>
      </c>
      <c r="F7" s="18" t="s">
        <v>418</v>
      </c>
      <c r="G7" s="16" t="s">
        <v>756</v>
      </c>
      <c r="H7" s="16" t="s">
        <v>757</v>
      </c>
    </row>
    <row r="8" spans="1:8" ht="30" customHeight="1" x14ac:dyDescent="0.25">
      <c r="A8" s="19" t="s">
        <v>752</v>
      </c>
      <c r="B8" s="19" t="s">
        <v>753</v>
      </c>
      <c r="C8" s="20" t="s">
        <v>758</v>
      </c>
      <c r="D8" s="21" t="s">
        <v>759</v>
      </c>
      <c r="E8" s="17">
        <v>2</v>
      </c>
      <c r="F8" s="18" t="s">
        <v>20</v>
      </c>
      <c r="G8" s="21" t="s">
        <v>1269</v>
      </c>
      <c r="H8" s="21" t="s">
        <v>633</v>
      </c>
    </row>
    <row r="9" spans="1:8" ht="30" customHeight="1" x14ac:dyDescent="0.25">
      <c r="A9" s="14" t="s">
        <v>752</v>
      </c>
      <c r="B9" s="14" t="s">
        <v>753</v>
      </c>
      <c r="C9" s="15" t="s">
        <v>760</v>
      </c>
      <c r="D9" s="16" t="s">
        <v>761</v>
      </c>
      <c r="E9" s="17">
        <v>2</v>
      </c>
      <c r="F9" s="18" t="s">
        <v>20</v>
      </c>
      <c r="G9" s="16" t="s">
        <v>1270</v>
      </c>
      <c r="H9" s="16" t="s">
        <v>633</v>
      </c>
    </row>
    <row r="10" spans="1:8" ht="30" customHeight="1" x14ac:dyDescent="0.25">
      <c r="A10" s="19" t="s">
        <v>752</v>
      </c>
      <c r="B10" s="19" t="s">
        <v>753</v>
      </c>
      <c r="C10" s="20" t="s">
        <v>762</v>
      </c>
      <c r="D10" s="21" t="s">
        <v>763</v>
      </c>
      <c r="E10" s="17">
        <v>2</v>
      </c>
      <c r="F10" s="18" t="s">
        <v>20</v>
      </c>
      <c r="G10" s="21" t="s">
        <v>1271</v>
      </c>
      <c r="H10" s="21" t="s">
        <v>29</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35" zoomScaleNormal="75" workbookViewId="0">
      <pane ySplit="1" topLeftCell="A2" activePane="bottomLeft" state="frozen"/>
      <selection pane="bottomLeft"/>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764</v>
      </c>
      <c r="B2" s="13" t="s">
        <v>765</v>
      </c>
      <c r="C2" s="13"/>
      <c r="D2" s="13"/>
      <c r="E2" s="13"/>
      <c r="F2" s="13"/>
      <c r="G2" s="13"/>
      <c r="H2" s="13"/>
    </row>
    <row r="3" spans="1:8" ht="30" customHeight="1" x14ac:dyDescent="0.25">
      <c r="A3" s="14" t="s">
        <v>764</v>
      </c>
      <c r="B3" s="14" t="s">
        <v>765</v>
      </c>
      <c r="C3" s="15" t="s">
        <v>766</v>
      </c>
      <c r="D3" s="16" t="s">
        <v>767</v>
      </c>
      <c r="E3" s="17">
        <v>2</v>
      </c>
      <c r="F3" s="18" t="s">
        <v>20</v>
      </c>
      <c r="G3" s="16" t="s">
        <v>768</v>
      </c>
      <c r="H3" s="16"/>
    </row>
    <row r="4" spans="1:8" ht="30" customHeight="1" x14ac:dyDescent="0.25">
      <c r="A4" s="19" t="s">
        <v>764</v>
      </c>
      <c r="B4" s="19" t="s">
        <v>765</v>
      </c>
      <c r="C4" s="20" t="s">
        <v>769</v>
      </c>
      <c r="D4" s="21" t="s">
        <v>770</v>
      </c>
      <c r="E4" s="17">
        <v>2</v>
      </c>
      <c r="F4" s="18" t="s">
        <v>20</v>
      </c>
      <c r="G4" s="21" t="s">
        <v>771</v>
      </c>
      <c r="H4" s="21"/>
    </row>
    <row r="5" spans="1:8" ht="18" customHeight="1" x14ac:dyDescent="0.25">
      <c r="A5" s="13" t="s">
        <v>772</v>
      </c>
      <c r="B5" s="13" t="s">
        <v>773</v>
      </c>
      <c r="C5" s="13"/>
      <c r="D5" s="13"/>
      <c r="E5" s="13"/>
      <c r="F5" s="13"/>
      <c r="G5" s="13"/>
      <c r="H5" s="13"/>
    </row>
    <row r="6" spans="1:8" ht="30" customHeight="1" x14ac:dyDescent="0.25">
      <c r="A6" s="14" t="s">
        <v>772</v>
      </c>
      <c r="B6" s="14" t="s">
        <v>773</v>
      </c>
      <c r="C6" s="15" t="s">
        <v>774</v>
      </c>
      <c r="D6" s="16" t="s">
        <v>775</v>
      </c>
      <c r="E6" s="17">
        <v>2</v>
      </c>
      <c r="F6" s="18" t="s">
        <v>20</v>
      </c>
      <c r="G6" s="16" t="s">
        <v>776</v>
      </c>
      <c r="H6" s="16"/>
    </row>
    <row r="7" spans="1:8" ht="30" customHeight="1" x14ac:dyDescent="0.25">
      <c r="A7" s="19" t="s">
        <v>772</v>
      </c>
      <c r="B7" s="19" t="s">
        <v>773</v>
      </c>
      <c r="C7" s="20" t="s">
        <v>777</v>
      </c>
      <c r="D7" s="21" t="s">
        <v>778</v>
      </c>
      <c r="E7" s="17">
        <v>2</v>
      </c>
      <c r="F7" s="18" t="s">
        <v>20</v>
      </c>
      <c r="G7" s="21" t="s">
        <v>776</v>
      </c>
      <c r="H7" s="21"/>
    </row>
    <row r="8" spans="1:8" ht="30" customHeight="1" x14ac:dyDescent="0.25">
      <c r="A8" s="14" t="s">
        <v>772</v>
      </c>
      <c r="B8" s="14" t="s">
        <v>773</v>
      </c>
      <c r="C8" s="15" t="s">
        <v>779</v>
      </c>
      <c r="D8" s="16" t="s">
        <v>780</v>
      </c>
      <c r="E8" s="23">
        <v>3</v>
      </c>
      <c r="F8" s="18" t="s">
        <v>20</v>
      </c>
      <c r="G8" s="16" t="s">
        <v>781</v>
      </c>
      <c r="H8" s="16"/>
    </row>
    <row r="9" spans="1:8" ht="18" customHeight="1" x14ac:dyDescent="0.25">
      <c r="A9" s="13" t="s">
        <v>782</v>
      </c>
      <c r="B9" s="13" t="s">
        <v>783</v>
      </c>
      <c r="C9" s="13"/>
      <c r="D9" s="13"/>
      <c r="E9" s="13"/>
      <c r="F9" s="13"/>
      <c r="G9" s="13"/>
      <c r="H9" s="13"/>
    </row>
    <row r="10" spans="1:8" ht="30" customHeight="1" x14ac:dyDescent="0.25">
      <c r="A10" s="14" t="s">
        <v>782</v>
      </c>
      <c r="B10" s="14" t="s">
        <v>783</v>
      </c>
      <c r="C10" s="15" t="s">
        <v>784</v>
      </c>
      <c r="D10" s="16" t="s">
        <v>785</v>
      </c>
      <c r="E10" s="17">
        <v>2</v>
      </c>
      <c r="F10" s="18" t="s">
        <v>20</v>
      </c>
      <c r="G10" s="16" t="s">
        <v>786</v>
      </c>
      <c r="H10" s="16"/>
    </row>
    <row r="11" spans="1:8" ht="30" customHeight="1" x14ac:dyDescent="0.25">
      <c r="A11" s="19" t="s">
        <v>782</v>
      </c>
      <c r="B11" s="19" t="s">
        <v>783</v>
      </c>
      <c r="C11" s="20" t="s">
        <v>787</v>
      </c>
      <c r="D11" s="21" t="s">
        <v>788</v>
      </c>
      <c r="E11" s="17">
        <v>2</v>
      </c>
      <c r="F11" s="18" t="s">
        <v>20</v>
      </c>
      <c r="G11" s="21" t="s">
        <v>789</v>
      </c>
      <c r="H11" s="21"/>
    </row>
    <row r="12" spans="1:8" ht="30" customHeight="1" x14ac:dyDescent="0.25">
      <c r="A12" s="14" t="s">
        <v>782</v>
      </c>
      <c r="B12" s="14" t="s">
        <v>783</v>
      </c>
      <c r="C12" s="15" t="s">
        <v>790</v>
      </c>
      <c r="D12" s="16" t="s">
        <v>791</v>
      </c>
      <c r="E12" s="17">
        <v>2</v>
      </c>
      <c r="F12" s="18" t="s">
        <v>20</v>
      </c>
      <c r="G12" s="16" t="s">
        <v>792</v>
      </c>
      <c r="H12" s="16"/>
    </row>
    <row r="13" spans="1:8" ht="30" customHeight="1" x14ac:dyDescent="0.25">
      <c r="A13" s="19" t="s">
        <v>782</v>
      </c>
      <c r="B13" s="19" t="s">
        <v>783</v>
      </c>
      <c r="C13" s="20" t="s">
        <v>793</v>
      </c>
      <c r="D13" s="21" t="s">
        <v>794</v>
      </c>
      <c r="E13" s="17">
        <v>2</v>
      </c>
      <c r="F13" s="18" t="s">
        <v>20</v>
      </c>
      <c r="G13" s="21" t="s">
        <v>789</v>
      </c>
      <c r="H13" s="21"/>
    </row>
    <row r="14" spans="1:8" ht="30" customHeight="1" x14ac:dyDescent="0.25">
      <c r="A14" s="14" t="s">
        <v>782</v>
      </c>
      <c r="B14" s="14" t="s">
        <v>783</v>
      </c>
      <c r="C14" s="15" t="s">
        <v>795</v>
      </c>
      <c r="D14" s="16" t="s">
        <v>796</v>
      </c>
      <c r="E14" s="23">
        <v>3</v>
      </c>
      <c r="F14" s="18" t="s">
        <v>20</v>
      </c>
      <c r="G14" s="16" t="s">
        <v>789</v>
      </c>
      <c r="H14" s="16"/>
    </row>
    <row r="15" spans="1:8" ht="18" customHeight="1" x14ac:dyDescent="0.25">
      <c r="A15" s="13" t="s">
        <v>797</v>
      </c>
      <c r="B15" s="13" t="s">
        <v>798</v>
      </c>
      <c r="C15" s="13"/>
      <c r="D15" s="13"/>
      <c r="E15" s="13"/>
      <c r="F15" s="13"/>
      <c r="G15" s="13"/>
      <c r="H15" s="13"/>
    </row>
    <row r="16" spans="1:8" ht="30" customHeight="1" x14ac:dyDescent="0.25">
      <c r="A16" s="14" t="s">
        <v>797</v>
      </c>
      <c r="B16" s="14" t="s">
        <v>798</v>
      </c>
      <c r="C16" s="15" t="s">
        <v>799</v>
      </c>
      <c r="D16" s="16" t="s">
        <v>800</v>
      </c>
      <c r="E16" s="22">
        <v>1</v>
      </c>
      <c r="F16" s="18" t="s">
        <v>20</v>
      </c>
      <c r="G16" s="16" t="s">
        <v>801</v>
      </c>
      <c r="H16" s="16"/>
    </row>
    <row r="17" spans="1:8" ht="30" customHeight="1" x14ac:dyDescent="0.25">
      <c r="A17" s="19" t="s">
        <v>797</v>
      </c>
      <c r="B17" s="19" t="s">
        <v>798</v>
      </c>
      <c r="C17" s="20" t="s">
        <v>802</v>
      </c>
      <c r="D17" s="21" t="s">
        <v>803</v>
      </c>
      <c r="E17" s="22">
        <v>1</v>
      </c>
      <c r="F17" s="18" t="s">
        <v>20</v>
      </c>
      <c r="G17" s="21" t="s">
        <v>801</v>
      </c>
      <c r="H17" s="21"/>
    </row>
    <row r="18" spans="1:8" ht="30" customHeight="1" x14ac:dyDescent="0.25">
      <c r="A18" s="14" t="s">
        <v>797</v>
      </c>
      <c r="B18" s="14" t="s">
        <v>798</v>
      </c>
      <c r="C18" s="15" t="s">
        <v>804</v>
      </c>
      <c r="D18" s="16" t="s">
        <v>805</v>
      </c>
      <c r="E18" s="22">
        <v>1</v>
      </c>
      <c r="F18" s="18" t="s">
        <v>20</v>
      </c>
      <c r="G18" s="16" t="s">
        <v>801</v>
      </c>
      <c r="H18" s="16"/>
    </row>
    <row r="19" spans="1:8" ht="30" customHeight="1" x14ac:dyDescent="0.25">
      <c r="A19" s="19" t="s">
        <v>797</v>
      </c>
      <c r="B19" s="19" t="s">
        <v>798</v>
      </c>
      <c r="C19" s="20" t="s">
        <v>806</v>
      </c>
      <c r="D19" s="21" t="s">
        <v>807</v>
      </c>
      <c r="E19" s="22">
        <v>1</v>
      </c>
      <c r="F19" s="18" t="s">
        <v>20</v>
      </c>
      <c r="G19" s="21" t="s">
        <v>801</v>
      </c>
      <c r="H19" s="21"/>
    </row>
    <row r="20" spans="1:8" ht="30" customHeight="1" x14ac:dyDescent="0.25">
      <c r="A20" s="14" t="s">
        <v>797</v>
      </c>
      <c r="B20" s="14" t="s">
        <v>798</v>
      </c>
      <c r="C20" s="15" t="s">
        <v>808</v>
      </c>
      <c r="D20" s="16" t="s">
        <v>809</v>
      </c>
      <c r="E20" s="22">
        <v>1</v>
      </c>
      <c r="F20" s="18" t="s">
        <v>20</v>
      </c>
      <c r="G20" s="16" t="s">
        <v>801</v>
      </c>
      <c r="H20" s="16"/>
    </row>
    <row r="21" spans="1:8" ht="30" customHeight="1" x14ac:dyDescent="0.25">
      <c r="A21" s="19" t="s">
        <v>797</v>
      </c>
      <c r="B21" s="19" t="s">
        <v>798</v>
      </c>
      <c r="C21" s="20" t="s">
        <v>810</v>
      </c>
      <c r="D21" s="21" t="s">
        <v>811</v>
      </c>
      <c r="E21" s="17">
        <v>2</v>
      </c>
      <c r="F21" s="18" t="s">
        <v>20</v>
      </c>
      <c r="G21" s="21" t="s">
        <v>801</v>
      </c>
      <c r="H21" s="21"/>
    </row>
    <row r="22" spans="1:8" ht="30" customHeight="1" x14ac:dyDescent="0.25">
      <c r="A22" s="14" t="s">
        <v>797</v>
      </c>
      <c r="B22" s="14" t="s">
        <v>798</v>
      </c>
      <c r="C22" s="15" t="s">
        <v>812</v>
      </c>
      <c r="D22" s="16" t="s">
        <v>813</v>
      </c>
      <c r="E22" s="17">
        <v>2</v>
      </c>
      <c r="F22" s="18" t="s">
        <v>20</v>
      </c>
      <c r="G22" s="16" t="s">
        <v>801</v>
      </c>
      <c r="H22" s="16"/>
    </row>
    <row r="23" spans="1:8" ht="30" customHeight="1" x14ac:dyDescent="0.25">
      <c r="A23" s="19" t="s">
        <v>797</v>
      </c>
      <c r="B23" s="19" t="s">
        <v>798</v>
      </c>
      <c r="C23" s="20" t="s">
        <v>814</v>
      </c>
      <c r="D23" s="21" t="s">
        <v>815</v>
      </c>
      <c r="E23" s="17">
        <v>2</v>
      </c>
      <c r="F23" s="18" t="s">
        <v>20</v>
      </c>
      <c r="G23" s="21" t="s">
        <v>801</v>
      </c>
      <c r="H23" s="21"/>
    </row>
    <row r="24" spans="1:8" ht="30" customHeight="1" x14ac:dyDescent="0.25">
      <c r="A24" s="14" t="s">
        <v>797</v>
      </c>
      <c r="B24" s="14" t="s">
        <v>798</v>
      </c>
      <c r="C24" s="15" t="s">
        <v>816</v>
      </c>
      <c r="D24" s="16" t="s">
        <v>817</v>
      </c>
      <c r="E24" s="17">
        <v>2</v>
      </c>
      <c r="F24" s="18" t="s">
        <v>20</v>
      </c>
      <c r="G24" s="16" t="s">
        <v>801</v>
      </c>
      <c r="H24" s="16"/>
    </row>
    <row r="25" spans="1:8" ht="30" customHeight="1" x14ac:dyDescent="0.25">
      <c r="A25" s="19" t="s">
        <v>797</v>
      </c>
      <c r="B25" s="19" t="s">
        <v>798</v>
      </c>
      <c r="C25" s="20" t="s">
        <v>818</v>
      </c>
      <c r="D25" s="21" t="s">
        <v>819</v>
      </c>
      <c r="E25" s="17">
        <v>2</v>
      </c>
      <c r="F25" s="18" t="s">
        <v>20</v>
      </c>
      <c r="G25" s="21" t="s">
        <v>801</v>
      </c>
      <c r="H25" s="21"/>
    </row>
    <row r="26" spans="1:8" ht="30" customHeight="1" x14ac:dyDescent="0.25">
      <c r="A26" s="14" t="s">
        <v>797</v>
      </c>
      <c r="B26" s="14" t="s">
        <v>798</v>
      </c>
      <c r="C26" s="15" t="s">
        <v>820</v>
      </c>
      <c r="D26" s="16" t="s">
        <v>821</v>
      </c>
      <c r="E26" s="17">
        <v>2</v>
      </c>
      <c r="F26" s="18" t="s">
        <v>20</v>
      </c>
      <c r="G26" s="16" t="s">
        <v>801</v>
      </c>
      <c r="H26" s="16"/>
    </row>
    <row r="27" spans="1:8" ht="30" customHeight="1" x14ac:dyDescent="0.25">
      <c r="A27" s="19" t="s">
        <v>797</v>
      </c>
      <c r="B27" s="19" t="s">
        <v>798</v>
      </c>
      <c r="C27" s="20" t="s">
        <v>822</v>
      </c>
      <c r="D27" s="21" t="s">
        <v>823</v>
      </c>
      <c r="E27" s="23">
        <v>3</v>
      </c>
      <c r="F27" s="18" t="s">
        <v>20</v>
      </c>
      <c r="G27" s="21" t="s">
        <v>801</v>
      </c>
      <c r="H27" s="21"/>
    </row>
    <row r="28" spans="1:8" ht="30" customHeight="1" x14ac:dyDescent="0.25">
      <c r="A28" s="14" t="s">
        <v>797</v>
      </c>
      <c r="B28" s="14" t="s">
        <v>798</v>
      </c>
      <c r="C28" s="15" t="s">
        <v>824</v>
      </c>
      <c r="D28" s="16" t="s">
        <v>825</v>
      </c>
      <c r="E28" s="23">
        <v>3</v>
      </c>
      <c r="F28" s="18" t="s">
        <v>20</v>
      </c>
      <c r="G28" s="16" t="s">
        <v>801</v>
      </c>
      <c r="H28" s="16"/>
    </row>
    <row r="29" spans="1:8" ht="30" customHeight="1" x14ac:dyDescent="0.25">
      <c r="A29" s="19" t="s">
        <v>797</v>
      </c>
      <c r="B29" s="19" t="s">
        <v>798</v>
      </c>
      <c r="C29" s="20" t="s">
        <v>826</v>
      </c>
      <c r="D29" s="21" t="s">
        <v>827</v>
      </c>
      <c r="E29" s="23">
        <v>3</v>
      </c>
      <c r="F29" s="18" t="s">
        <v>20</v>
      </c>
      <c r="G29" s="21" t="s">
        <v>801</v>
      </c>
      <c r="H29" s="21"/>
    </row>
    <row r="30" spans="1:8" ht="30" customHeight="1" x14ac:dyDescent="0.25">
      <c r="A30" s="14" t="s">
        <v>797</v>
      </c>
      <c r="B30" s="14" t="s">
        <v>798</v>
      </c>
      <c r="C30" s="15" t="s">
        <v>828</v>
      </c>
      <c r="D30" s="16" t="s">
        <v>829</v>
      </c>
      <c r="E30" s="23">
        <v>3</v>
      </c>
      <c r="F30" s="18" t="s">
        <v>20</v>
      </c>
      <c r="G30" s="16" t="s">
        <v>801</v>
      </c>
      <c r="H30" s="16"/>
    </row>
    <row r="31" spans="1:8" ht="30" customHeight="1" x14ac:dyDescent="0.25">
      <c r="A31" s="19" t="s">
        <v>797</v>
      </c>
      <c r="B31" s="19" t="s">
        <v>798</v>
      </c>
      <c r="C31" s="20" t="s">
        <v>830</v>
      </c>
      <c r="D31" s="21" t="s">
        <v>831</v>
      </c>
      <c r="E31" s="23">
        <v>3</v>
      </c>
      <c r="F31" s="18" t="s">
        <v>20</v>
      </c>
      <c r="G31" s="21" t="s">
        <v>801</v>
      </c>
      <c r="H31" s="21"/>
    </row>
    <row r="32" spans="1:8" ht="18" customHeight="1" x14ac:dyDescent="0.25">
      <c r="A32" s="13" t="s">
        <v>832</v>
      </c>
      <c r="B32" s="13" t="s">
        <v>833</v>
      </c>
      <c r="C32" s="13"/>
      <c r="D32" s="13"/>
      <c r="E32" s="13"/>
      <c r="F32" s="13"/>
      <c r="G32" s="13"/>
      <c r="H32" s="13"/>
    </row>
    <row r="33" spans="1:8" ht="30" customHeight="1" x14ac:dyDescent="0.25">
      <c r="A33" s="14" t="s">
        <v>832</v>
      </c>
      <c r="B33" s="14" t="s">
        <v>833</v>
      </c>
      <c r="C33" s="15" t="s">
        <v>834</v>
      </c>
      <c r="D33" s="16" t="s">
        <v>835</v>
      </c>
      <c r="E33" s="17">
        <v>2</v>
      </c>
      <c r="F33" s="18" t="s">
        <v>20</v>
      </c>
      <c r="G33" s="16" t="s">
        <v>836</v>
      </c>
      <c r="H33" s="16"/>
    </row>
    <row r="34" spans="1:8" ht="30" customHeight="1" x14ac:dyDescent="0.25">
      <c r="A34" s="19" t="s">
        <v>832</v>
      </c>
      <c r="B34" s="19" t="s">
        <v>833</v>
      </c>
      <c r="C34" s="20" t="s">
        <v>837</v>
      </c>
      <c r="D34" s="21" t="s">
        <v>838</v>
      </c>
      <c r="E34" s="17">
        <v>2</v>
      </c>
      <c r="F34" s="18" t="s">
        <v>20</v>
      </c>
      <c r="G34" s="21" t="s">
        <v>836</v>
      </c>
      <c r="H34" s="21"/>
    </row>
    <row r="35" spans="1:8" ht="30" customHeight="1" x14ac:dyDescent="0.25">
      <c r="A35" s="14" t="s">
        <v>832</v>
      </c>
      <c r="B35" s="14" t="s">
        <v>833</v>
      </c>
      <c r="C35" s="15" t="s">
        <v>839</v>
      </c>
      <c r="D35" s="16" t="s">
        <v>840</v>
      </c>
      <c r="E35" s="17">
        <v>2</v>
      </c>
      <c r="F35" s="18" t="s">
        <v>20</v>
      </c>
      <c r="G35" s="16" t="s">
        <v>836</v>
      </c>
      <c r="H35" s="16"/>
    </row>
    <row r="36" spans="1:8" ht="30" customHeight="1" x14ac:dyDescent="0.25">
      <c r="A36" s="19" t="s">
        <v>832</v>
      </c>
      <c r="B36" s="19" t="s">
        <v>833</v>
      </c>
      <c r="C36" s="20" t="s">
        <v>841</v>
      </c>
      <c r="D36" s="21" t="s">
        <v>842</v>
      </c>
      <c r="E36" s="17">
        <v>2</v>
      </c>
      <c r="F36" s="18" t="s">
        <v>20</v>
      </c>
      <c r="G36" s="21" t="s">
        <v>836</v>
      </c>
      <c r="H36" s="21"/>
    </row>
    <row r="37" spans="1:8" ht="30" customHeight="1" x14ac:dyDescent="0.25">
      <c r="A37" s="14" t="s">
        <v>832</v>
      </c>
      <c r="B37" s="14" t="s">
        <v>833</v>
      </c>
      <c r="C37" s="15" t="s">
        <v>843</v>
      </c>
      <c r="D37" s="16" t="s">
        <v>844</v>
      </c>
      <c r="E37" s="17">
        <v>2</v>
      </c>
      <c r="F37" s="18" t="s">
        <v>20</v>
      </c>
      <c r="G37" s="16" t="s">
        <v>836</v>
      </c>
      <c r="H37" s="16"/>
    </row>
    <row r="38" spans="1:8" ht="18" customHeight="1" x14ac:dyDescent="0.25">
      <c r="A38" s="13" t="s">
        <v>845</v>
      </c>
      <c r="B38" s="13" t="s">
        <v>846</v>
      </c>
      <c r="C38" s="13"/>
      <c r="D38" s="13"/>
      <c r="E38" s="13"/>
      <c r="F38" s="13"/>
      <c r="G38" s="13"/>
      <c r="H38" s="13"/>
    </row>
    <row r="39" spans="1:8" ht="30" customHeight="1" x14ac:dyDescent="0.25">
      <c r="A39" s="14" t="s">
        <v>845</v>
      </c>
      <c r="B39" s="14" t="s">
        <v>846</v>
      </c>
      <c r="C39" s="15" t="s">
        <v>847</v>
      </c>
      <c r="D39" s="16" t="s">
        <v>848</v>
      </c>
      <c r="E39" s="17">
        <v>2</v>
      </c>
      <c r="F39" s="18" t="s">
        <v>20</v>
      </c>
      <c r="G39" s="16" t="s">
        <v>849</v>
      </c>
      <c r="H39" s="16"/>
    </row>
    <row r="40" spans="1:8" ht="30" customHeight="1" x14ac:dyDescent="0.25">
      <c r="A40" s="19" t="s">
        <v>845</v>
      </c>
      <c r="B40" s="19" t="s">
        <v>846</v>
      </c>
      <c r="C40" s="20" t="s">
        <v>850</v>
      </c>
      <c r="D40" s="21" t="s">
        <v>851</v>
      </c>
      <c r="E40" s="17">
        <v>2</v>
      </c>
      <c r="F40" s="18" t="s">
        <v>20</v>
      </c>
      <c r="G40" s="21" t="s">
        <v>849</v>
      </c>
      <c r="H40" s="21"/>
    </row>
    <row r="41" spans="1:8" ht="18" customHeight="1" x14ac:dyDescent="0.25">
      <c r="A41" s="13" t="s">
        <v>852</v>
      </c>
      <c r="B41" s="13" t="s">
        <v>853</v>
      </c>
      <c r="C41" s="13"/>
      <c r="D41" s="13"/>
      <c r="E41" s="13"/>
      <c r="F41" s="13"/>
      <c r="G41" s="13"/>
      <c r="H41" s="13"/>
    </row>
    <row r="42" spans="1:8" ht="30" customHeight="1" x14ac:dyDescent="0.25">
      <c r="A42" s="14" t="s">
        <v>852</v>
      </c>
      <c r="B42" s="14" t="s">
        <v>853</v>
      </c>
      <c r="C42" s="15" t="s">
        <v>854</v>
      </c>
      <c r="D42" s="16" t="s">
        <v>855</v>
      </c>
      <c r="E42" s="17">
        <v>2</v>
      </c>
      <c r="F42" s="18" t="s">
        <v>20</v>
      </c>
      <c r="G42" s="16" t="s">
        <v>856</v>
      </c>
      <c r="H42" s="16"/>
    </row>
    <row r="43" spans="1:8" ht="30" customHeight="1" x14ac:dyDescent="0.25">
      <c r="A43" s="19" t="s">
        <v>852</v>
      </c>
      <c r="B43" s="19" t="s">
        <v>853</v>
      </c>
      <c r="C43" s="20" t="s">
        <v>857</v>
      </c>
      <c r="D43" s="21" t="s">
        <v>858</v>
      </c>
      <c r="E43" s="17">
        <v>2</v>
      </c>
      <c r="F43" s="18" t="s">
        <v>20</v>
      </c>
      <c r="G43" s="21" t="s">
        <v>856</v>
      </c>
      <c r="H43" s="21"/>
    </row>
    <row r="44" spans="1:8" ht="30" customHeight="1" x14ac:dyDescent="0.25">
      <c r="A44" s="14" t="s">
        <v>852</v>
      </c>
      <c r="B44" s="14" t="s">
        <v>853</v>
      </c>
      <c r="C44" s="15" t="s">
        <v>859</v>
      </c>
      <c r="D44" s="16" t="s">
        <v>860</v>
      </c>
      <c r="E44" s="17">
        <v>2</v>
      </c>
      <c r="F44" s="18" t="s">
        <v>20</v>
      </c>
      <c r="G44" s="16" t="s">
        <v>856</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59" zoomScaleNormal="75" workbookViewId="0">
      <pane ySplit="1" topLeftCell="A2" activePane="bottomLeft" state="frozen"/>
      <selection pane="bottomLeft" activeCell="K22" sqref="K22"/>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8</v>
      </c>
      <c r="B2" s="13" t="s">
        <v>9</v>
      </c>
      <c r="C2" s="13"/>
      <c r="D2" s="13"/>
      <c r="E2" s="13"/>
      <c r="F2" s="13"/>
      <c r="G2" s="13"/>
      <c r="H2" s="13"/>
    </row>
    <row r="3" spans="1:8" ht="30" customHeight="1" x14ac:dyDescent="0.25">
      <c r="A3" s="14" t="s">
        <v>8</v>
      </c>
      <c r="B3" s="14" t="s">
        <v>9</v>
      </c>
      <c r="C3" s="15" t="s">
        <v>10</v>
      </c>
      <c r="D3" s="16" t="s">
        <v>11</v>
      </c>
      <c r="E3" s="17">
        <v>2</v>
      </c>
      <c r="F3" s="18" t="s">
        <v>710</v>
      </c>
      <c r="G3" s="16" t="s">
        <v>1272</v>
      </c>
      <c r="H3" s="16" t="s">
        <v>13</v>
      </c>
    </row>
    <row r="4" spans="1:8" ht="30" customHeight="1" x14ac:dyDescent="0.25">
      <c r="A4" s="19" t="s">
        <v>8</v>
      </c>
      <c r="B4" s="19" t="s">
        <v>9</v>
      </c>
      <c r="C4" s="20" t="s">
        <v>14</v>
      </c>
      <c r="D4" s="21" t="s">
        <v>15</v>
      </c>
      <c r="E4" s="17">
        <v>2</v>
      </c>
      <c r="F4" s="18" t="s">
        <v>12</v>
      </c>
      <c r="G4" s="21" t="s">
        <v>16</v>
      </c>
      <c r="H4" s="21" t="s">
        <v>17</v>
      </c>
    </row>
    <row r="5" spans="1:8" ht="30" customHeight="1" x14ac:dyDescent="0.25">
      <c r="A5" s="14" t="s">
        <v>8</v>
      </c>
      <c r="B5" s="14" t="s">
        <v>9</v>
      </c>
      <c r="C5" s="15" t="s">
        <v>18</v>
      </c>
      <c r="D5" s="16" t="s">
        <v>19</v>
      </c>
      <c r="E5" s="23">
        <v>3</v>
      </c>
      <c r="F5" s="18" t="s">
        <v>20</v>
      </c>
      <c r="G5" s="16" t="s">
        <v>21</v>
      </c>
      <c r="H5" s="16"/>
    </row>
    <row r="6" spans="1:8" ht="30" customHeight="1" x14ac:dyDescent="0.25">
      <c r="A6" s="19" t="s">
        <v>8</v>
      </c>
      <c r="B6" s="19" t="s">
        <v>9</v>
      </c>
      <c r="C6" s="20" t="s">
        <v>22</v>
      </c>
      <c r="D6" s="21" t="s">
        <v>23</v>
      </c>
      <c r="E6" s="23">
        <v>3</v>
      </c>
      <c r="F6" s="18" t="s">
        <v>12</v>
      </c>
      <c r="G6" s="21" t="s">
        <v>24</v>
      </c>
      <c r="H6" s="21" t="s">
        <v>13</v>
      </c>
    </row>
    <row r="7" spans="1:8" ht="18" customHeight="1" x14ac:dyDescent="0.25">
      <c r="A7" s="13" t="s">
        <v>25</v>
      </c>
      <c r="B7" s="13" t="s">
        <v>26</v>
      </c>
      <c r="C7" s="13"/>
      <c r="D7" s="13"/>
      <c r="E7" s="13"/>
      <c r="F7" s="13"/>
      <c r="G7" s="13"/>
      <c r="H7" s="13"/>
    </row>
    <row r="8" spans="1:8" ht="30" customHeight="1" x14ac:dyDescent="0.25">
      <c r="A8" s="14" t="s">
        <v>25</v>
      </c>
      <c r="B8" s="14" t="s">
        <v>26</v>
      </c>
      <c r="C8" s="15" t="s">
        <v>27</v>
      </c>
      <c r="D8" s="16" t="s">
        <v>28</v>
      </c>
      <c r="E8" s="17">
        <v>2</v>
      </c>
      <c r="F8" s="18" t="s">
        <v>418</v>
      </c>
      <c r="G8" s="16" t="s">
        <v>1273</v>
      </c>
      <c r="H8" s="16" t="s">
        <v>29</v>
      </c>
    </row>
    <row r="9" spans="1:8" ht="30" customHeight="1" x14ac:dyDescent="0.25">
      <c r="A9" s="19" t="s">
        <v>25</v>
      </c>
      <c r="B9" s="19" t="s">
        <v>26</v>
      </c>
      <c r="C9" s="20" t="s">
        <v>30</v>
      </c>
      <c r="D9" s="21" t="s">
        <v>31</v>
      </c>
      <c r="E9" s="17">
        <v>2</v>
      </c>
      <c r="F9" s="18" t="s">
        <v>710</v>
      </c>
      <c r="G9" s="21" t="s">
        <v>1274</v>
      </c>
      <c r="H9" s="21" t="s">
        <v>17</v>
      </c>
    </row>
    <row r="10" spans="1:8" ht="30" customHeight="1" x14ac:dyDescent="0.25">
      <c r="A10" s="14" t="s">
        <v>25</v>
      </c>
      <c r="B10" s="14" t="s">
        <v>26</v>
      </c>
      <c r="C10" s="15" t="s">
        <v>32</v>
      </c>
      <c r="D10" s="16" t="s">
        <v>33</v>
      </c>
      <c r="E10" s="17">
        <v>2</v>
      </c>
      <c r="F10" s="18" t="s">
        <v>418</v>
      </c>
      <c r="G10" s="16" t="s">
        <v>1275</v>
      </c>
      <c r="H10" s="16" t="s">
        <v>17</v>
      </c>
    </row>
    <row r="11" spans="1:8" ht="30" customHeight="1" x14ac:dyDescent="0.25">
      <c r="A11" s="19" t="s">
        <v>25</v>
      </c>
      <c r="B11" s="19" t="s">
        <v>26</v>
      </c>
      <c r="C11" s="20" t="s">
        <v>34</v>
      </c>
      <c r="D11" s="21" t="s">
        <v>35</v>
      </c>
      <c r="E11" s="23">
        <v>3</v>
      </c>
      <c r="F11" s="18" t="s">
        <v>418</v>
      </c>
      <c r="G11" s="21" t="s">
        <v>1276</v>
      </c>
      <c r="H11" s="21" t="s">
        <v>36</v>
      </c>
    </row>
    <row r="12" spans="1:8" ht="30" customHeight="1" x14ac:dyDescent="0.25">
      <c r="A12" s="14" t="s">
        <v>25</v>
      </c>
      <c r="B12" s="14" t="s">
        <v>26</v>
      </c>
      <c r="C12" s="15" t="s">
        <v>37</v>
      </c>
      <c r="D12" s="16" t="s">
        <v>38</v>
      </c>
      <c r="E12" s="23">
        <v>3</v>
      </c>
      <c r="F12" s="18" t="s">
        <v>418</v>
      </c>
      <c r="G12" s="16" t="s">
        <v>1277</v>
      </c>
      <c r="H12" s="16" t="s">
        <v>39</v>
      </c>
    </row>
    <row r="13" spans="1:8" ht="18" customHeight="1" x14ac:dyDescent="0.25">
      <c r="A13" s="13" t="s">
        <v>40</v>
      </c>
      <c r="B13" s="13" t="s">
        <v>41</v>
      </c>
      <c r="C13" s="13"/>
      <c r="D13" s="13"/>
      <c r="E13" s="13"/>
      <c r="F13" s="13"/>
      <c r="G13" s="13"/>
      <c r="H13" s="13"/>
    </row>
    <row r="14" spans="1:8" ht="30" customHeight="1" x14ac:dyDescent="0.25">
      <c r="A14" s="14" t="s">
        <v>40</v>
      </c>
      <c r="B14" s="14" t="s">
        <v>41</v>
      </c>
      <c r="C14" s="15" t="s">
        <v>42</v>
      </c>
      <c r="D14" s="16" t="s">
        <v>43</v>
      </c>
      <c r="E14" s="22">
        <v>1</v>
      </c>
      <c r="F14" s="18" t="s">
        <v>20</v>
      </c>
      <c r="G14" s="16" t="s">
        <v>1278</v>
      </c>
      <c r="H14" s="16" t="s">
        <v>29</v>
      </c>
    </row>
    <row r="15" spans="1:8" ht="30" customHeight="1" x14ac:dyDescent="0.25">
      <c r="A15" s="19" t="s">
        <v>40</v>
      </c>
      <c r="B15" s="19" t="s">
        <v>41</v>
      </c>
      <c r="C15" s="20" t="s">
        <v>44</v>
      </c>
      <c r="D15" s="21" t="s">
        <v>45</v>
      </c>
      <c r="E15" s="22">
        <v>1</v>
      </c>
      <c r="F15" s="18" t="s">
        <v>710</v>
      </c>
      <c r="G15" s="21" t="s">
        <v>1279</v>
      </c>
      <c r="H15" s="21" t="s">
        <v>46</v>
      </c>
    </row>
    <row r="16" spans="1:8" ht="30" customHeight="1" x14ac:dyDescent="0.25">
      <c r="A16" s="14" t="s">
        <v>40</v>
      </c>
      <c r="B16" s="14" t="s">
        <v>41</v>
      </c>
      <c r="C16" s="15" t="s">
        <v>47</v>
      </c>
      <c r="D16" s="16" t="s">
        <v>48</v>
      </c>
      <c r="E16" s="17">
        <v>2</v>
      </c>
      <c r="F16" s="18" t="s">
        <v>20</v>
      </c>
      <c r="G16" s="16" t="s">
        <v>1280</v>
      </c>
      <c r="H16" s="16" t="s">
        <v>36</v>
      </c>
    </row>
    <row r="17" spans="1:8" ht="30" customHeight="1" x14ac:dyDescent="0.25">
      <c r="A17" s="19" t="s">
        <v>40</v>
      </c>
      <c r="B17" s="19" t="s">
        <v>41</v>
      </c>
      <c r="C17" s="20" t="s">
        <v>49</v>
      </c>
      <c r="D17" s="21" t="s">
        <v>50</v>
      </c>
      <c r="E17" s="23">
        <v>3</v>
      </c>
      <c r="F17" s="18" t="s">
        <v>20</v>
      </c>
      <c r="G17" s="21" t="s">
        <v>1281</v>
      </c>
      <c r="H17" s="21" t="s">
        <v>51</v>
      </c>
    </row>
    <row r="18" spans="1:8" ht="30" customHeight="1" x14ac:dyDescent="0.25">
      <c r="A18" s="14" t="s">
        <v>40</v>
      </c>
      <c r="B18" s="14" t="s">
        <v>41</v>
      </c>
      <c r="C18" s="15" t="s">
        <v>52</v>
      </c>
      <c r="D18" s="16" t="s">
        <v>53</v>
      </c>
      <c r="E18" s="23">
        <v>3</v>
      </c>
      <c r="F18" s="18" t="s">
        <v>20</v>
      </c>
      <c r="G18" s="16" t="s">
        <v>54</v>
      </c>
      <c r="H18" s="16"/>
    </row>
    <row r="19" spans="1:8" ht="18" customHeight="1" x14ac:dyDescent="0.25">
      <c r="A19" s="13" t="s">
        <v>55</v>
      </c>
      <c r="B19" s="13" t="s">
        <v>56</v>
      </c>
      <c r="C19" s="13"/>
      <c r="D19" s="13"/>
      <c r="E19" s="13"/>
      <c r="F19" s="13"/>
      <c r="G19" s="13"/>
      <c r="H19" s="13"/>
    </row>
    <row r="20" spans="1:8" ht="30" customHeight="1" x14ac:dyDescent="0.25">
      <c r="A20" s="14" t="s">
        <v>55</v>
      </c>
      <c r="B20" s="14" t="s">
        <v>56</v>
      </c>
      <c r="C20" s="15" t="s">
        <v>57</v>
      </c>
      <c r="D20" s="16" t="s">
        <v>58</v>
      </c>
      <c r="E20" s="22">
        <v>1</v>
      </c>
      <c r="F20" s="18" t="s">
        <v>418</v>
      </c>
      <c r="G20" s="16" t="s">
        <v>1282</v>
      </c>
      <c r="H20" s="16" t="s">
        <v>36</v>
      </c>
    </row>
    <row r="21" spans="1:8" ht="30" customHeight="1" x14ac:dyDescent="0.25">
      <c r="A21" s="19" t="s">
        <v>55</v>
      </c>
      <c r="B21" s="19" t="s">
        <v>56</v>
      </c>
      <c r="C21" s="20" t="s">
        <v>59</v>
      </c>
      <c r="D21" s="21" t="s">
        <v>60</v>
      </c>
      <c r="E21" s="17">
        <v>2</v>
      </c>
      <c r="F21" s="18" t="s">
        <v>418</v>
      </c>
      <c r="G21" s="21" t="s">
        <v>1283</v>
      </c>
      <c r="H21" s="21" t="s">
        <v>36</v>
      </c>
    </row>
    <row r="22" spans="1:8" ht="30" customHeight="1" x14ac:dyDescent="0.25">
      <c r="A22" s="14" t="s">
        <v>55</v>
      </c>
      <c r="B22" s="14" t="s">
        <v>56</v>
      </c>
      <c r="C22" s="15" t="s">
        <v>61</v>
      </c>
      <c r="D22" s="16" t="s">
        <v>62</v>
      </c>
      <c r="E22" s="17">
        <v>2</v>
      </c>
      <c r="F22" s="18" t="s">
        <v>418</v>
      </c>
      <c r="G22" s="16" t="s">
        <v>1284</v>
      </c>
      <c r="H22" s="16" t="s">
        <v>29</v>
      </c>
    </row>
    <row r="23" spans="1:8" ht="30" customHeight="1" x14ac:dyDescent="0.25">
      <c r="A23" s="19" t="s">
        <v>55</v>
      </c>
      <c r="B23" s="19" t="s">
        <v>56</v>
      </c>
      <c r="C23" s="20" t="s">
        <v>63</v>
      </c>
      <c r="D23" s="21" t="s">
        <v>64</v>
      </c>
      <c r="E23" s="17">
        <v>2</v>
      </c>
      <c r="F23" s="18" t="s">
        <v>20</v>
      </c>
      <c r="G23" s="21" t="s">
        <v>1285</v>
      </c>
      <c r="H23" s="21" t="s">
        <v>36</v>
      </c>
    </row>
    <row r="24" spans="1:8" ht="18" customHeight="1" x14ac:dyDescent="0.25">
      <c r="A24" s="13" t="s">
        <v>65</v>
      </c>
      <c r="B24" s="13" t="s">
        <v>66</v>
      </c>
      <c r="C24" s="13"/>
      <c r="D24" s="13"/>
      <c r="E24" s="13"/>
      <c r="F24" s="13"/>
      <c r="G24" s="13"/>
      <c r="H24" s="13"/>
    </row>
    <row r="25" spans="1:8" ht="30" customHeight="1" x14ac:dyDescent="0.25">
      <c r="A25" s="14" t="s">
        <v>65</v>
      </c>
      <c r="B25" s="14" t="s">
        <v>66</v>
      </c>
      <c r="C25" s="15" t="s">
        <v>67</v>
      </c>
      <c r="D25" s="16" t="s">
        <v>68</v>
      </c>
      <c r="E25" s="17">
        <v>2</v>
      </c>
      <c r="F25" s="18" t="s">
        <v>20</v>
      </c>
      <c r="G25" s="16" t="s">
        <v>1286</v>
      </c>
      <c r="H25" s="16" t="s">
        <v>51</v>
      </c>
    </row>
    <row r="26" spans="1:8" ht="30" customHeight="1" x14ac:dyDescent="0.25">
      <c r="A26" s="19" t="s">
        <v>65</v>
      </c>
      <c r="B26" s="19" t="s">
        <v>66</v>
      </c>
      <c r="C26" s="20" t="s">
        <v>69</v>
      </c>
      <c r="D26" s="21" t="s">
        <v>70</v>
      </c>
      <c r="E26" s="23">
        <v>3</v>
      </c>
      <c r="F26" s="18" t="s">
        <v>418</v>
      </c>
      <c r="G26" s="21" t="s">
        <v>1287</v>
      </c>
      <c r="H26" s="21" t="s">
        <v>51</v>
      </c>
    </row>
    <row r="27" spans="1:8" ht="18" customHeight="1" x14ac:dyDescent="0.25">
      <c r="A27" s="13" t="s">
        <v>71</v>
      </c>
      <c r="B27" s="13" t="s">
        <v>72</v>
      </c>
      <c r="C27" s="13"/>
      <c r="D27" s="13"/>
      <c r="E27" s="13"/>
      <c r="F27" s="13"/>
      <c r="G27" s="13"/>
      <c r="H27" s="13"/>
    </row>
    <row r="28" spans="1:8" ht="30" customHeight="1" x14ac:dyDescent="0.25">
      <c r="A28" s="14" t="s">
        <v>71</v>
      </c>
      <c r="B28" s="14" t="s">
        <v>72</v>
      </c>
      <c r="C28" s="15" t="s">
        <v>73</v>
      </c>
      <c r="D28" s="16" t="s">
        <v>74</v>
      </c>
      <c r="E28" s="17">
        <v>2</v>
      </c>
      <c r="F28" s="18" t="s">
        <v>418</v>
      </c>
      <c r="G28" s="16" t="s">
        <v>1288</v>
      </c>
      <c r="H28" s="16" t="s">
        <v>29</v>
      </c>
    </row>
    <row r="29" spans="1:8" ht="30" customHeight="1" x14ac:dyDescent="0.25">
      <c r="A29" s="19" t="s">
        <v>71</v>
      </c>
      <c r="B29" s="19" t="s">
        <v>72</v>
      </c>
      <c r="C29" s="20" t="s">
        <v>75</v>
      </c>
      <c r="D29" s="21" t="s">
        <v>76</v>
      </c>
      <c r="E29" s="23">
        <v>3</v>
      </c>
      <c r="F29" s="18" t="s">
        <v>418</v>
      </c>
      <c r="G29" s="21" t="s">
        <v>1289</v>
      </c>
      <c r="H29" s="21" t="s">
        <v>46</v>
      </c>
    </row>
    <row r="30" spans="1:8" ht="18" customHeight="1" x14ac:dyDescent="0.25">
      <c r="A30" s="13" t="s">
        <v>77</v>
      </c>
      <c r="B30" s="13" t="s">
        <v>78</v>
      </c>
      <c r="C30" s="13"/>
      <c r="D30" s="13"/>
      <c r="E30" s="13"/>
      <c r="F30" s="13"/>
      <c r="G30" s="13"/>
      <c r="H30" s="13"/>
    </row>
    <row r="31" spans="1:8" ht="30" customHeight="1" x14ac:dyDescent="0.25">
      <c r="A31" s="14" t="s">
        <v>77</v>
      </c>
      <c r="B31" s="14" t="s">
        <v>78</v>
      </c>
      <c r="C31" s="15" t="s">
        <v>79</v>
      </c>
      <c r="D31" s="16" t="s">
        <v>80</v>
      </c>
      <c r="E31" s="23">
        <v>3</v>
      </c>
      <c r="F31" s="18" t="s">
        <v>20</v>
      </c>
      <c r="G31" s="16" t="s">
        <v>81</v>
      </c>
      <c r="H31" s="16"/>
    </row>
    <row r="32" spans="1:8" ht="30" customHeight="1" x14ac:dyDescent="0.25">
      <c r="A32" s="19" t="s">
        <v>77</v>
      </c>
      <c r="B32" s="19" t="s">
        <v>78</v>
      </c>
      <c r="C32" s="20" t="s">
        <v>82</v>
      </c>
      <c r="D32" s="21" t="s">
        <v>83</v>
      </c>
      <c r="E32" s="23">
        <v>3</v>
      </c>
      <c r="F32" s="18" t="s">
        <v>710</v>
      </c>
      <c r="G32" s="21" t="s">
        <v>1290</v>
      </c>
      <c r="H32" s="21" t="s">
        <v>84</v>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861</v>
      </c>
      <c r="B2" s="13" t="s">
        <v>862</v>
      </c>
      <c r="C2" s="13"/>
      <c r="D2" s="13"/>
      <c r="E2" s="13"/>
      <c r="F2" s="13"/>
      <c r="G2" s="13"/>
      <c r="H2" s="13"/>
    </row>
    <row r="3" spans="1:8" ht="30" customHeight="1" x14ac:dyDescent="0.25">
      <c r="A3" s="14" t="s">
        <v>861</v>
      </c>
      <c r="B3" s="14" t="s">
        <v>862</v>
      </c>
      <c r="C3" s="15" t="s">
        <v>863</v>
      </c>
      <c r="D3" s="16" t="s">
        <v>864</v>
      </c>
      <c r="E3" s="22">
        <v>1</v>
      </c>
      <c r="F3" s="18" t="s">
        <v>418</v>
      </c>
      <c r="G3" s="16" t="s">
        <v>865</v>
      </c>
      <c r="H3" s="16" t="s">
        <v>866</v>
      </c>
    </row>
    <row r="4" spans="1:8" ht="30" customHeight="1" x14ac:dyDescent="0.25">
      <c r="A4" s="19" t="s">
        <v>861</v>
      </c>
      <c r="B4" s="19" t="s">
        <v>862</v>
      </c>
      <c r="C4" s="20" t="s">
        <v>867</v>
      </c>
      <c r="D4" s="21" t="s">
        <v>868</v>
      </c>
      <c r="E4" s="17">
        <v>2</v>
      </c>
      <c r="F4" s="18" t="s">
        <v>710</v>
      </c>
      <c r="G4" s="21" t="s">
        <v>1291</v>
      </c>
      <c r="H4" s="21" t="s">
        <v>869</v>
      </c>
    </row>
    <row r="5" spans="1:8" ht="30" customHeight="1" x14ac:dyDescent="0.25">
      <c r="A5" s="14" t="s">
        <v>861</v>
      </c>
      <c r="B5" s="14" t="s">
        <v>862</v>
      </c>
      <c r="C5" s="15" t="s">
        <v>870</v>
      </c>
      <c r="D5" s="16" t="s">
        <v>871</v>
      </c>
      <c r="E5" s="17">
        <v>2</v>
      </c>
      <c r="F5" s="18" t="s">
        <v>20</v>
      </c>
      <c r="G5" s="16" t="s">
        <v>872</v>
      </c>
      <c r="H5" s="16"/>
    </row>
    <row r="6" spans="1:8" ht="30" customHeight="1" x14ac:dyDescent="0.25">
      <c r="A6" s="19" t="s">
        <v>861</v>
      </c>
      <c r="B6" s="19" t="s">
        <v>862</v>
      </c>
      <c r="C6" s="20" t="s">
        <v>873</v>
      </c>
      <c r="D6" s="21" t="s">
        <v>874</v>
      </c>
      <c r="E6" s="23">
        <v>3</v>
      </c>
      <c r="F6" s="18" t="s">
        <v>12</v>
      </c>
      <c r="G6" s="21" t="s">
        <v>875</v>
      </c>
      <c r="H6" s="21" t="s">
        <v>46</v>
      </c>
    </row>
    <row r="7" spans="1:8" ht="30" customHeight="1" x14ac:dyDescent="0.25">
      <c r="A7" s="14" t="s">
        <v>861</v>
      </c>
      <c r="B7" s="14" t="s">
        <v>862</v>
      </c>
      <c r="C7" s="15" t="s">
        <v>876</v>
      </c>
      <c r="D7" s="16" t="s">
        <v>877</v>
      </c>
      <c r="E7" s="23">
        <v>3</v>
      </c>
      <c r="F7" s="18" t="s">
        <v>20</v>
      </c>
      <c r="G7" s="16" t="s">
        <v>878</v>
      </c>
      <c r="H7" s="16"/>
    </row>
    <row r="8" spans="1:8" ht="18" customHeight="1" x14ac:dyDescent="0.25">
      <c r="A8" s="13" t="s">
        <v>879</v>
      </c>
      <c r="B8" s="13" t="s">
        <v>880</v>
      </c>
      <c r="C8" s="13"/>
      <c r="D8" s="13"/>
      <c r="E8" s="13"/>
      <c r="F8" s="13"/>
      <c r="G8" s="13"/>
      <c r="H8" s="13"/>
    </row>
    <row r="9" spans="1:8" ht="30" customHeight="1" x14ac:dyDescent="0.25">
      <c r="A9" s="14" t="s">
        <v>879</v>
      </c>
      <c r="B9" s="14" t="s">
        <v>880</v>
      </c>
      <c r="C9" s="15" t="s">
        <v>881</v>
      </c>
      <c r="D9" s="16" t="s">
        <v>882</v>
      </c>
      <c r="E9" s="22">
        <v>1</v>
      </c>
      <c r="F9" s="18" t="s">
        <v>418</v>
      </c>
      <c r="G9" s="16" t="s">
        <v>883</v>
      </c>
      <c r="H9" s="16" t="s">
        <v>884</v>
      </c>
    </row>
    <row r="10" spans="1:8" ht="30" customHeight="1" x14ac:dyDescent="0.25">
      <c r="A10" s="19" t="s">
        <v>879</v>
      </c>
      <c r="B10" s="19" t="s">
        <v>880</v>
      </c>
      <c r="C10" s="20" t="s">
        <v>885</v>
      </c>
      <c r="D10" s="21" t="s">
        <v>886</v>
      </c>
      <c r="E10" s="22">
        <v>1</v>
      </c>
      <c r="F10" s="18" t="s">
        <v>12</v>
      </c>
      <c r="G10" s="21" t="s">
        <v>887</v>
      </c>
      <c r="H10" s="21" t="s">
        <v>866</v>
      </c>
    </row>
    <row r="11" spans="1:8" ht="18" customHeight="1" x14ac:dyDescent="0.25">
      <c r="A11" s="13" t="s">
        <v>888</v>
      </c>
      <c r="B11" s="13" t="s">
        <v>889</v>
      </c>
      <c r="C11" s="13"/>
      <c r="D11" s="13"/>
      <c r="E11" s="13"/>
      <c r="F11" s="13"/>
      <c r="G11" s="13"/>
      <c r="H11" s="13"/>
    </row>
    <row r="12" spans="1:8" ht="30" customHeight="1" x14ac:dyDescent="0.25">
      <c r="A12" s="14" t="s">
        <v>888</v>
      </c>
      <c r="B12" s="14" t="s">
        <v>889</v>
      </c>
      <c r="C12" s="15" t="s">
        <v>890</v>
      </c>
      <c r="D12" s="16" t="s">
        <v>891</v>
      </c>
      <c r="E12" s="17">
        <v>2</v>
      </c>
      <c r="F12" s="18" t="s">
        <v>12</v>
      </c>
      <c r="G12" s="16" t="s">
        <v>892</v>
      </c>
      <c r="H12" s="16" t="s">
        <v>893</v>
      </c>
    </row>
    <row r="13" spans="1:8" ht="30" customHeight="1" x14ac:dyDescent="0.25">
      <c r="A13" s="19" t="s">
        <v>888</v>
      </c>
      <c r="B13" s="19" t="s">
        <v>889</v>
      </c>
      <c r="C13" s="20" t="s">
        <v>894</v>
      </c>
      <c r="D13" s="21" t="s">
        <v>895</v>
      </c>
      <c r="E13" s="17">
        <v>2</v>
      </c>
      <c r="F13" s="18" t="s">
        <v>12</v>
      </c>
      <c r="G13" s="21" t="s">
        <v>896</v>
      </c>
      <c r="H13" s="21" t="s">
        <v>893</v>
      </c>
    </row>
    <row r="14" spans="1:8" ht="30" customHeight="1" x14ac:dyDescent="0.25">
      <c r="A14" s="14" t="s">
        <v>888</v>
      </c>
      <c r="B14" s="14" t="s">
        <v>889</v>
      </c>
      <c r="C14" s="15" t="s">
        <v>897</v>
      </c>
      <c r="D14" s="16" t="s">
        <v>898</v>
      </c>
      <c r="E14" s="17">
        <v>2</v>
      </c>
      <c r="F14" s="18" t="s">
        <v>12</v>
      </c>
      <c r="G14" s="16" t="s">
        <v>899</v>
      </c>
      <c r="H14" s="16" t="s">
        <v>893</v>
      </c>
    </row>
    <row r="15" spans="1:8" ht="30" customHeight="1" x14ac:dyDescent="0.25">
      <c r="A15" s="19" t="s">
        <v>888</v>
      </c>
      <c r="B15" s="19" t="s">
        <v>889</v>
      </c>
      <c r="C15" s="20" t="s">
        <v>900</v>
      </c>
      <c r="D15" s="21" t="s">
        <v>901</v>
      </c>
      <c r="E15" s="17">
        <v>2</v>
      </c>
      <c r="F15" s="18" t="s">
        <v>12</v>
      </c>
      <c r="G15" s="21" t="s">
        <v>902</v>
      </c>
      <c r="H15" s="21" t="s">
        <v>893</v>
      </c>
    </row>
    <row r="16" spans="1:8" ht="30" customHeight="1" x14ac:dyDescent="0.25">
      <c r="A16" s="14" t="s">
        <v>888</v>
      </c>
      <c r="B16" s="14" t="s">
        <v>889</v>
      </c>
      <c r="C16" s="15" t="s">
        <v>903</v>
      </c>
      <c r="D16" s="16" t="s">
        <v>904</v>
      </c>
      <c r="E16" s="23">
        <v>3</v>
      </c>
      <c r="F16" s="18" t="s">
        <v>12</v>
      </c>
      <c r="G16" s="16" t="s">
        <v>905</v>
      </c>
      <c r="H16" s="16" t="s">
        <v>906</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0" zoomScaleNormal="70" workbookViewId="0">
      <pane ySplit="1" topLeftCell="A2" activePane="bottomLeft" state="frozen"/>
      <selection pane="bottomLeft"/>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907</v>
      </c>
      <c r="B2" s="13" t="s">
        <v>908</v>
      </c>
      <c r="C2" s="13"/>
      <c r="D2" s="13"/>
      <c r="E2" s="13"/>
      <c r="F2" s="13"/>
      <c r="G2" s="13"/>
      <c r="H2" s="13"/>
    </row>
    <row r="3" spans="1:8" ht="30" customHeight="1" x14ac:dyDescent="0.25">
      <c r="A3" s="14" t="s">
        <v>907</v>
      </c>
      <c r="B3" s="14" t="s">
        <v>908</v>
      </c>
      <c r="C3" s="15" t="s">
        <v>909</v>
      </c>
      <c r="D3" s="16" t="s">
        <v>910</v>
      </c>
      <c r="E3" s="17">
        <v>2</v>
      </c>
      <c r="F3" s="18" t="s">
        <v>12</v>
      </c>
      <c r="G3" s="16" t="s">
        <v>911</v>
      </c>
      <c r="H3" s="16" t="s">
        <v>912</v>
      </c>
    </row>
    <row r="4" spans="1:8" ht="30" customHeight="1" x14ac:dyDescent="0.25">
      <c r="A4" s="19" t="s">
        <v>907</v>
      </c>
      <c r="B4" s="19" t="s">
        <v>908</v>
      </c>
      <c r="C4" s="20" t="s">
        <v>913</v>
      </c>
      <c r="D4" s="21" t="s">
        <v>914</v>
      </c>
      <c r="E4" s="23">
        <v>3</v>
      </c>
      <c r="F4" s="18" t="s">
        <v>12</v>
      </c>
      <c r="G4" s="21" t="s">
        <v>915</v>
      </c>
      <c r="H4" s="21" t="s">
        <v>916</v>
      </c>
    </row>
    <row r="5" spans="1:8" ht="30" customHeight="1" x14ac:dyDescent="0.25">
      <c r="A5" s="14" t="s">
        <v>907</v>
      </c>
      <c r="B5" s="14" t="s">
        <v>908</v>
      </c>
      <c r="C5" s="15" t="s">
        <v>917</v>
      </c>
      <c r="D5" s="16" t="s">
        <v>918</v>
      </c>
      <c r="E5" s="23">
        <v>3</v>
      </c>
      <c r="F5" s="18" t="s">
        <v>12</v>
      </c>
      <c r="G5" s="16" t="s">
        <v>919</v>
      </c>
      <c r="H5" s="16" t="s">
        <v>920</v>
      </c>
    </row>
    <row r="6" spans="1:8" ht="30" customHeight="1" x14ac:dyDescent="0.25">
      <c r="A6" s="19" t="s">
        <v>907</v>
      </c>
      <c r="B6" s="19" t="s">
        <v>908</v>
      </c>
      <c r="C6" s="20" t="s">
        <v>921</v>
      </c>
      <c r="D6" s="21" t="s">
        <v>922</v>
      </c>
      <c r="E6" s="23">
        <v>3</v>
      </c>
      <c r="F6" s="18" t="s">
        <v>12</v>
      </c>
      <c r="G6" s="21" t="s">
        <v>923</v>
      </c>
      <c r="H6" s="21" t="s">
        <v>924</v>
      </c>
    </row>
    <row r="7" spans="1:8" ht="18" customHeight="1" x14ac:dyDescent="0.25">
      <c r="A7" s="13" t="s">
        <v>925</v>
      </c>
      <c r="B7" s="13" t="s">
        <v>926</v>
      </c>
      <c r="C7" s="13"/>
      <c r="D7" s="13"/>
      <c r="E7" s="13"/>
      <c r="F7" s="13"/>
      <c r="G7" s="13"/>
      <c r="H7" s="13"/>
    </row>
    <row r="8" spans="1:8" ht="30" customHeight="1" x14ac:dyDescent="0.25">
      <c r="A8" s="14" t="s">
        <v>925</v>
      </c>
      <c r="B8" s="14" t="s">
        <v>926</v>
      </c>
      <c r="C8" s="15" t="s">
        <v>927</v>
      </c>
      <c r="D8" s="16" t="s">
        <v>928</v>
      </c>
      <c r="E8" s="17">
        <v>2</v>
      </c>
      <c r="F8" s="18" t="s">
        <v>12</v>
      </c>
      <c r="G8" s="16" t="s">
        <v>929</v>
      </c>
      <c r="H8" s="16" t="s">
        <v>930</v>
      </c>
    </row>
    <row r="9" spans="1:8" ht="30" customHeight="1" x14ac:dyDescent="0.25">
      <c r="A9" s="19" t="s">
        <v>925</v>
      </c>
      <c r="B9" s="19" t="s">
        <v>926</v>
      </c>
      <c r="C9" s="20" t="s">
        <v>931</v>
      </c>
      <c r="D9" s="21" t="s">
        <v>932</v>
      </c>
      <c r="E9" s="17">
        <v>2</v>
      </c>
      <c r="F9" s="18" t="s">
        <v>12</v>
      </c>
      <c r="G9" s="21" t="s">
        <v>933</v>
      </c>
      <c r="H9" s="21" t="s">
        <v>893</v>
      </c>
    </row>
    <row r="10" spans="1:8" ht="30" customHeight="1" x14ac:dyDescent="0.25">
      <c r="A10" s="14" t="s">
        <v>925</v>
      </c>
      <c r="B10" s="14" t="s">
        <v>926</v>
      </c>
      <c r="C10" s="15" t="s">
        <v>934</v>
      </c>
      <c r="D10" s="16" t="s">
        <v>935</v>
      </c>
      <c r="E10" s="17">
        <v>2</v>
      </c>
      <c r="F10" s="18" t="s">
        <v>418</v>
      </c>
      <c r="G10" s="16" t="s">
        <v>1292</v>
      </c>
      <c r="H10" s="16" t="s">
        <v>930</v>
      </c>
    </row>
    <row r="11" spans="1:8" ht="30" customHeight="1" x14ac:dyDescent="0.25">
      <c r="A11" s="19" t="s">
        <v>925</v>
      </c>
      <c r="B11" s="19" t="s">
        <v>926</v>
      </c>
      <c r="C11" s="20" t="s">
        <v>936</v>
      </c>
      <c r="D11" s="21" t="s">
        <v>937</v>
      </c>
      <c r="E11" s="17">
        <v>2</v>
      </c>
      <c r="F11" s="18" t="s">
        <v>12</v>
      </c>
      <c r="G11" s="21" t="s">
        <v>938</v>
      </c>
      <c r="H11" s="21" t="s">
        <v>939</v>
      </c>
    </row>
    <row r="12" spans="1:8" ht="30" customHeight="1" x14ac:dyDescent="0.25">
      <c r="A12" s="14" t="s">
        <v>925</v>
      </c>
      <c r="B12" s="14" t="s">
        <v>926</v>
      </c>
      <c r="C12" s="15" t="s">
        <v>940</v>
      </c>
      <c r="D12" s="16" t="s">
        <v>941</v>
      </c>
      <c r="E12" s="17">
        <v>2</v>
      </c>
      <c r="F12" s="18" t="s">
        <v>12</v>
      </c>
      <c r="G12" s="16" t="s">
        <v>942</v>
      </c>
      <c r="H12" s="16" t="s">
        <v>939</v>
      </c>
    </row>
    <row r="13" spans="1:8" ht="30" customHeight="1" x14ac:dyDescent="0.25">
      <c r="A13" s="19" t="s">
        <v>925</v>
      </c>
      <c r="B13" s="19" t="s">
        <v>926</v>
      </c>
      <c r="C13" s="20" t="s">
        <v>943</v>
      </c>
      <c r="D13" s="21" t="s">
        <v>944</v>
      </c>
      <c r="E13" s="23">
        <v>3</v>
      </c>
      <c r="F13" s="18" t="s">
        <v>12</v>
      </c>
      <c r="G13" s="21" t="s">
        <v>945</v>
      </c>
      <c r="H13" s="21" t="s">
        <v>946</v>
      </c>
    </row>
    <row r="14" spans="1:8" ht="18" customHeight="1" x14ac:dyDescent="0.25">
      <c r="A14" s="13" t="s">
        <v>947</v>
      </c>
      <c r="B14" s="13" t="s">
        <v>948</v>
      </c>
      <c r="C14" s="13"/>
      <c r="D14" s="13"/>
      <c r="E14" s="13"/>
      <c r="F14" s="13"/>
      <c r="G14" s="13"/>
      <c r="H14" s="13"/>
    </row>
    <row r="15" spans="1:8" ht="30" customHeight="1" x14ac:dyDescent="0.25">
      <c r="A15" s="14" t="s">
        <v>947</v>
      </c>
      <c r="B15" s="14" t="s">
        <v>948</v>
      </c>
      <c r="C15" s="15" t="s">
        <v>949</v>
      </c>
      <c r="D15" s="16" t="s">
        <v>950</v>
      </c>
      <c r="E15" s="17">
        <v>2</v>
      </c>
      <c r="F15" s="18" t="s">
        <v>710</v>
      </c>
      <c r="G15" s="16" t="s">
        <v>1293</v>
      </c>
      <c r="H15" s="16" t="s">
        <v>951</v>
      </c>
    </row>
    <row r="16" spans="1:8" ht="30" customHeight="1" x14ac:dyDescent="0.25">
      <c r="A16" s="19" t="s">
        <v>947</v>
      </c>
      <c r="B16" s="19" t="s">
        <v>948</v>
      </c>
      <c r="C16" s="20" t="s">
        <v>952</v>
      </c>
      <c r="D16" s="21" t="s">
        <v>953</v>
      </c>
      <c r="E16" s="17">
        <v>2</v>
      </c>
      <c r="F16" s="18" t="s">
        <v>12</v>
      </c>
      <c r="G16" s="21" t="s">
        <v>954</v>
      </c>
      <c r="H16" s="21" t="s">
        <v>955</v>
      </c>
    </row>
    <row r="17" spans="1:8" ht="30" customHeight="1" x14ac:dyDescent="0.25">
      <c r="A17" s="14" t="s">
        <v>947</v>
      </c>
      <c r="B17" s="14" t="s">
        <v>948</v>
      </c>
      <c r="C17" s="15" t="s">
        <v>956</v>
      </c>
      <c r="D17" s="16" t="s">
        <v>957</v>
      </c>
      <c r="E17" s="23">
        <v>3</v>
      </c>
      <c r="F17" s="18" t="s">
        <v>20</v>
      </c>
      <c r="G17" s="16" t="s">
        <v>958</v>
      </c>
      <c r="H17" s="16"/>
    </row>
    <row r="18" spans="1:8" ht="30" customHeight="1" x14ac:dyDescent="0.25">
      <c r="A18" s="19" t="s">
        <v>947</v>
      </c>
      <c r="B18" s="19" t="s">
        <v>948</v>
      </c>
      <c r="C18" s="20" t="s">
        <v>959</v>
      </c>
      <c r="D18" s="21" t="s">
        <v>960</v>
      </c>
      <c r="E18" s="23">
        <v>3</v>
      </c>
      <c r="F18" s="18" t="s">
        <v>12</v>
      </c>
      <c r="G18" s="21" t="s">
        <v>961</v>
      </c>
      <c r="H18" s="21" t="s">
        <v>924</v>
      </c>
    </row>
    <row r="19" spans="1:8" ht="18" customHeight="1" x14ac:dyDescent="0.25">
      <c r="A19" s="13" t="s">
        <v>962</v>
      </c>
      <c r="B19" s="13" t="s">
        <v>963</v>
      </c>
      <c r="C19" s="13"/>
      <c r="D19" s="13"/>
      <c r="E19" s="13"/>
      <c r="F19" s="13"/>
      <c r="G19" s="13"/>
      <c r="H19" s="13"/>
    </row>
    <row r="20" spans="1:8" ht="30" customHeight="1" x14ac:dyDescent="0.25">
      <c r="A20" s="14" t="s">
        <v>962</v>
      </c>
      <c r="B20" s="14" t="s">
        <v>963</v>
      </c>
      <c r="C20" s="15" t="s">
        <v>964</v>
      </c>
      <c r="D20" s="16" t="s">
        <v>965</v>
      </c>
      <c r="E20" s="22">
        <v>1</v>
      </c>
      <c r="F20" s="18" t="s">
        <v>418</v>
      </c>
      <c r="G20" s="16" t="s">
        <v>966</v>
      </c>
      <c r="H20" s="16" t="s">
        <v>967</v>
      </c>
    </row>
    <row r="21" spans="1:8" ht="30" customHeight="1" x14ac:dyDescent="0.25">
      <c r="A21" s="19" t="s">
        <v>962</v>
      </c>
      <c r="B21" s="19" t="s">
        <v>963</v>
      </c>
      <c r="C21" s="20" t="s">
        <v>968</v>
      </c>
      <c r="D21" s="21" t="s">
        <v>969</v>
      </c>
      <c r="E21" s="17">
        <v>2</v>
      </c>
      <c r="F21" s="18" t="s">
        <v>418</v>
      </c>
      <c r="G21" s="21" t="s">
        <v>970</v>
      </c>
      <c r="H21" s="21" t="s">
        <v>971</v>
      </c>
    </row>
    <row r="22" spans="1:8" ht="30" customHeight="1" x14ac:dyDescent="0.25">
      <c r="A22" s="14" t="s">
        <v>962</v>
      </c>
      <c r="B22" s="14" t="s">
        <v>963</v>
      </c>
      <c r="C22" s="15" t="s">
        <v>972</v>
      </c>
      <c r="D22" s="16" t="s">
        <v>973</v>
      </c>
      <c r="E22" s="17">
        <v>2</v>
      </c>
      <c r="F22" s="18" t="s">
        <v>20</v>
      </c>
      <c r="G22" s="16" t="s">
        <v>974</v>
      </c>
      <c r="H22" s="16"/>
    </row>
    <row r="23" spans="1:8" ht="30" customHeight="1" x14ac:dyDescent="0.25">
      <c r="A23" s="19" t="s">
        <v>962</v>
      </c>
      <c r="B23" s="19" t="s">
        <v>963</v>
      </c>
      <c r="C23" s="20" t="s">
        <v>975</v>
      </c>
      <c r="D23" s="21" t="s">
        <v>976</v>
      </c>
      <c r="E23" s="17">
        <v>2</v>
      </c>
      <c r="F23" s="18" t="s">
        <v>418</v>
      </c>
      <c r="G23" s="21" t="s">
        <v>1294</v>
      </c>
      <c r="H23" s="21" t="s">
        <v>977</v>
      </c>
    </row>
    <row r="24" spans="1:8" ht="30" customHeight="1" x14ac:dyDescent="0.25">
      <c r="A24" s="14" t="s">
        <v>962</v>
      </c>
      <c r="B24" s="14" t="s">
        <v>963</v>
      </c>
      <c r="C24" s="15" t="s">
        <v>978</v>
      </c>
      <c r="D24" s="16" t="s">
        <v>979</v>
      </c>
      <c r="E24" s="17">
        <v>2</v>
      </c>
      <c r="F24" s="18" t="s">
        <v>418</v>
      </c>
      <c r="G24" s="16" t="s">
        <v>980</v>
      </c>
      <c r="H24" s="16" t="s">
        <v>981</v>
      </c>
    </row>
    <row r="25" spans="1:8" ht="30" customHeight="1" x14ac:dyDescent="0.25">
      <c r="A25" s="19" t="s">
        <v>962</v>
      </c>
      <c r="B25" s="19" t="s">
        <v>963</v>
      </c>
      <c r="C25" s="20" t="s">
        <v>982</v>
      </c>
      <c r="D25" s="21" t="s">
        <v>983</v>
      </c>
      <c r="E25" s="23">
        <v>3</v>
      </c>
      <c r="F25" s="18" t="s">
        <v>12</v>
      </c>
      <c r="G25" s="21" t="s">
        <v>984</v>
      </c>
      <c r="H25" s="21" t="s">
        <v>985</v>
      </c>
    </row>
    <row r="26" spans="1:8" ht="30" customHeight="1" x14ac:dyDescent="0.25">
      <c r="A26" s="14" t="s">
        <v>962</v>
      </c>
      <c r="B26" s="14" t="s">
        <v>963</v>
      </c>
      <c r="C26" s="15" t="s">
        <v>986</v>
      </c>
      <c r="D26" s="16" t="s">
        <v>987</v>
      </c>
      <c r="E26" s="23">
        <v>3</v>
      </c>
      <c r="F26" s="18" t="s">
        <v>20</v>
      </c>
      <c r="G26" s="16" t="s">
        <v>988</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989</v>
      </c>
      <c r="B2" s="13" t="s">
        <v>990</v>
      </c>
      <c r="C2" s="13"/>
      <c r="D2" s="13"/>
      <c r="E2" s="13"/>
      <c r="F2" s="13"/>
      <c r="G2" s="13"/>
      <c r="H2" s="13"/>
    </row>
    <row r="3" spans="1:8" ht="30" customHeight="1" x14ac:dyDescent="0.25">
      <c r="A3" s="14" t="s">
        <v>989</v>
      </c>
      <c r="B3" s="14" t="s">
        <v>990</v>
      </c>
      <c r="C3" s="15" t="s">
        <v>991</v>
      </c>
      <c r="D3" s="16" t="s">
        <v>992</v>
      </c>
      <c r="E3" s="17">
        <v>2</v>
      </c>
      <c r="F3" s="18" t="s">
        <v>12</v>
      </c>
      <c r="G3" s="16" t="s">
        <v>993</v>
      </c>
      <c r="H3" s="16" t="s">
        <v>994</v>
      </c>
    </row>
    <row r="4" spans="1:8" ht="30" customHeight="1" x14ac:dyDescent="0.25">
      <c r="A4" s="19" t="s">
        <v>989</v>
      </c>
      <c r="B4" s="19" t="s">
        <v>990</v>
      </c>
      <c r="C4" s="20" t="s">
        <v>995</v>
      </c>
      <c r="D4" s="21" t="s">
        <v>996</v>
      </c>
      <c r="E4" s="17">
        <v>2</v>
      </c>
      <c r="F4" s="18" t="s">
        <v>12</v>
      </c>
      <c r="G4" s="21" t="s">
        <v>997</v>
      </c>
      <c r="H4" s="21" t="s">
        <v>998</v>
      </c>
    </row>
    <row r="5" spans="1:8" ht="18" customHeight="1" x14ac:dyDescent="0.25">
      <c r="A5" s="13" t="s">
        <v>999</v>
      </c>
      <c r="B5" s="13" t="s">
        <v>1000</v>
      </c>
      <c r="C5" s="13"/>
      <c r="D5" s="13"/>
      <c r="E5" s="13"/>
      <c r="F5" s="13"/>
      <c r="G5" s="13"/>
      <c r="H5" s="13"/>
    </row>
    <row r="6" spans="1:8" ht="30" customHeight="1" x14ac:dyDescent="0.25">
      <c r="A6" s="14" t="s">
        <v>999</v>
      </c>
      <c r="B6" s="14" t="s">
        <v>1000</v>
      </c>
      <c r="C6" s="15" t="s">
        <v>1001</v>
      </c>
      <c r="D6" s="16" t="s">
        <v>1002</v>
      </c>
      <c r="E6" s="22">
        <v>1</v>
      </c>
      <c r="F6" s="18" t="s">
        <v>418</v>
      </c>
      <c r="G6" s="16" t="s">
        <v>1295</v>
      </c>
      <c r="H6" s="16" t="s">
        <v>1003</v>
      </c>
    </row>
    <row r="7" spans="1:8" ht="30" customHeight="1" x14ac:dyDescent="0.25">
      <c r="A7" s="19" t="s">
        <v>999</v>
      </c>
      <c r="B7" s="19" t="s">
        <v>1000</v>
      </c>
      <c r="C7" s="20" t="s">
        <v>1004</v>
      </c>
      <c r="D7" s="21" t="s">
        <v>1005</v>
      </c>
      <c r="E7" s="17">
        <v>2</v>
      </c>
      <c r="F7" s="18" t="s">
        <v>418</v>
      </c>
      <c r="G7" s="21" t="s">
        <v>1296</v>
      </c>
      <c r="H7" s="21" t="s">
        <v>1006</v>
      </c>
    </row>
    <row r="8" spans="1:8" ht="30" customHeight="1" x14ac:dyDescent="0.25">
      <c r="A8" s="14" t="s">
        <v>999</v>
      </c>
      <c r="B8" s="14" t="s">
        <v>1000</v>
      </c>
      <c r="C8" s="15" t="s">
        <v>1007</v>
      </c>
      <c r="D8" s="16" t="s">
        <v>1008</v>
      </c>
      <c r="E8" s="17">
        <v>2</v>
      </c>
      <c r="F8" s="18" t="s">
        <v>20</v>
      </c>
      <c r="G8" s="16" t="s">
        <v>1009</v>
      </c>
      <c r="H8" s="16"/>
    </row>
    <row r="9" spans="1:8" ht="30" customHeight="1" x14ac:dyDescent="0.25">
      <c r="A9" s="19" t="s">
        <v>999</v>
      </c>
      <c r="B9" s="19" t="s">
        <v>1000</v>
      </c>
      <c r="C9" s="20" t="s">
        <v>1010</v>
      </c>
      <c r="D9" s="21" t="s">
        <v>1011</v>
      </c>
      <c r="E9" s="17">
        <v>2</v>
      </c>
      <c r="F9" s="18" t="s">
        <v>12</v>
      </c>
      <c r="G9" s="21" t="s">
        <v>1012</v>
      </c>
      <c r="H9" s="21" t="s">
        <v>1013</v>
      </c>
    </row>
    <row r="10" spans="1:8" ht="30" customHeight="1" x14ac:dyDescent="0.25">
      <c r="A10" s="14" t="s">
        <v>999</v>
      </c>
      <c r="B10" s="14" t="s">
        <v>1000</v>
      </c>
      <c r="C10" s="15" t="s">
        <v>1014</v>
      </c>
      <c r="D10" s="16" t="s">
        <v>1015</v>
      </c>
      <c r="E10" s="23">
        <v>3</v>
      </c>
      <c r="F10" s="18" t="s">
        <v>418</v>
      </c>
      <c r="G10" s="16" t="s">
        <v>1297</v>
      </c>
      <c r="H10" s="16" t="s">
        <v>1006</v>
      </c>
    </row>
    <row r="11" spans="1:8" ht="30" customHeight="1" x14ac:dyDescent="0.25">
      <c r="A11" s="19" t="s">
        <v>999</v>
      </c>
      <c r="B11" s="19" t="s">
        <v>1000</v>
      </c>
      <c r="C11" s="20" t="s">
        <v>1016</v>
      </c>
      <c r="D11" s="21" t="s">
        <v>1017</v>
      </c>
      <c r="E11" s="23">
        <v>3</v>
      </c>
      <c r="F11" s="18" t="s">
        <v>418</v>
      </c>
      <c r="G11" s="21" t="s">
        <v>1298</v>
      </c>
      <c r="H11" s="21" t="s">
        <v>127</v>
      </c>
    </row>
    <row r="12" spans="1:8" ht="30" customHeight="1" x14ac:dyDescent="0.25">
      <c r="A12" s="14" t="s">
        <v>999</v>
      </c>
      <c r="B12" s="14" t="s">
        <v>1000</v>
      </c>
      <c r="C12" s="15" t="s">
        <v>1018</v>
      </c>
      <c r="D12" s="16" t="s">
        <v>1019</v>
      </c>
      <c r="E12" s="23">
        <v>3</v>
      </c>
      <c r="F12" s="18" t="s">
        <v>12</v>
      </c>
      <c r="G12" s="16" t="s">
        <v>1020</v>
      </c>
      <c r="H12" s="16" t="s">
        <v>1021</v>
      </c>
    </row>
    <row r="13" spans="1:8" ht="30" customHeight="1" x14ac:dyDescent="0.25">
      <c r="A13" s="19" t="s">
        <v>999</v>
      </c>
      <c r="B13" s="19" t="s">
        <v>1000</v>
      </c>
      <c r="C13" s="20" t="s">
        <v>1022</v>
      </c>
      <c r="D13" s="21" t="s">
        <v>1023</v>
      </c>
      <c r="E13" s="23">
        <v>3</v>
      </c>
      <c r="F13" s="18" t="s">
        <v>20</v>
      </c>
      <c r="G13" s="21" t="s">
        <v>1024</v>
      </c>
      <c r="H13" s="21"/>
    </row>
    <row r="14" spans="1:8" ht="18" customHeight="1" x14ac:dyDescent="0.25">
      <c r="A14" s="13" t="s">
        <v>1025</v>
      </c>
      <c r="B14" s="13" t="s">
        <v>1026</v>
      </c>
      <c r="C14" s="13"/>
      <c r="D14" s="13"/>
      <c r="E14" s="13"/>
      <c r="F14" s="13"/>
      <c r="G14" s="13"/>
      <c r="H14" s="13"/>
    </row>
    <row r="15" spans="1:8" ht="30" customHeight="1" x14ac:dyDescent="0.25">
      <c r="A15" s="14" t="s">
        <v>1025</v>
      </c>
      <c r="B15" s="14" t="s">
        <v>1026</v>
      </c>
      <c r="C15" s="15" t="s">
        <v>1027</v>
      </c>
      <c r="D15" s="16" t="s">
        <v>1028</v>
      </c>
      <c r="E15" s="22">
        <v>1</v>
      </c>
      <c r="F15" s="18" t="s">
        <v>20</v>
      </c>
      <c r="G15" s="16" t="s">
        <v>1029</v>
      </c>
      <c r="H15" s="16"/>
    </row>
    <row r="16" spans="1:8" ht="30" customHeight="1" x14ac:dyDescent="0.25">
      <c r="A16" s="19" t="s">
        <v>1025</v>
      </c>
      <c r="B16" s="19" t="s">
        <v>1026</v>
      </c>
      <c r="C16" s="20" t="s">
        <v>1030</v>
      </c>
      <c r="D16" s="21" t="s">
        <v>1031</v>
      </c>
      <c r="E16" s="17">
        <v>2</v>
      </c>
      <c r="F16" s="18" t="s">
        <v>418</v>
      </c>
      <c r="G16" s="21" t="s">
        <v>1299</v>
      </c>
      <c r="H16" s="21" t="s">
        <v>1006</v>
      </c>
    </row>
    <row r="17" spans="1:8" ht="30" customHeight="1" x14ac:dyDescent="0.25">
      <c r="A17" s="14" t="s">
        <v>1025</v>
      </c>
      <c r="B17" s="14" t="s">
        <v>1026</v>
      </c>
      <c r="C17" s="15" t="s">
        <v>1032</v>
      </c>
      <c r="D17" s="16" t="s">
        <v>1033</v>
      </c>
      <c r="E17" s="17">
        <v>2</v>
      </c>
      <c r="F17" s="18" t="s">
        <v>20</v>
      </c>
      <c r="G17" s="16" t="s">
        <v>1034</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E1" zoomScale="75" zoomScaleNormal="75" workbookViewId="0">
      <pane ySplit="1" topLeftCell="A12" activePane="bottomLeft" state="frozen"/>
      <selection pane="bottomLeft" activeCell="I13" sqref="I13"/>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1035</v>
      </c>
      <c r="B2" s="13" t="s">
        <v>1036</v>
      </c>
      <c r="C2" s="13"/>
      <c r="D2" s="13"/>
      <c r="E2" s="13"/>
      <c r="F2" s="13"/>
      <c r="G2" s="13"/>
      <c r="H2" s="13"/>
    </row>
    <row r="3" spans="1:8" ht="30" customHeight="1" x14ac:dyDescent="0.25">
      <c r="A3" s="14" t="s">
        <v>1035</v>
      </c>
      <c r="B3" s="14" t="s">
        <v>1036</v>
      </c>
      <c r="C3" s="15" t="s">
        <v>1037</v>
      </c>
      <c r="D3" s="16" t="s">
        <v>1038</v>
      </c>
      <c r="E3" s="22">
        <v>1</v>
      </c>
      <c r="F3" s="18" t="s">
        <v>12</v>
      </c>
      <c r="G3" s="16" t="s">
        <v>1039</v>
      </c>
      <c r="H3" s="16" t="s">
        <v>1040</v>
      </c>
    </row>
    <row r="4" spans="1:8" ht="30" customHeight="1" x14ac:dyDescent="0.25">
      <c r="A4" s="19" t="s">
        <v>1035</v>
      </c>
      <c r="B4" s="19" t="s">
        <v>1036</v>
      </c>
      <c r="C4" s="20" t="s">
        <v>1041</v>
      </c>
      <c r="D4" s="21" t="s">
        <v>1042</v>
      </c>
      <c r="E4" s="17">
        <v>2</v>
      </c>
      <c r="F4" s="18" t="s">
        <v>12</v>
      </c>
      <c r="G4" s="21" t="s">
        <v>1043</v>
      </c>
      <c r="H4" s="21" t="s">
        <v>1044</v>
      </c>
    </row>
    <row r="5" spans="1:8" ht="30" customHeight="1" x14ac:dyDescent="0.25">
      <c r="A5" s="14" t="s">
        <v>1035</v>
      </c>
      <c r="B5" s="14" t="s">
        <v>1036</v>
      </c>
      <c r="C5" s="15" t="s">
        <v>1045</v>
      </c>
      <c r="D5" s="16" t="s">
        <v>1046</v>
      </c>
      <c r="E5" s="17">
        <v>2</v>
      </c>
      <c r="F5" s="18" t="s">
        <v>12</v>
      </c>
      <c r="G5" s="16" t="s">
        <v>1047</v>
      </c>
      <c r="H5" s="16" t="s">
        <v>1048</v>
      </c>
    </row>
    <row r="6" spans="1:8" ht="30" customHeight="1" x14ac:dyDescent="0.25">
      <c r="A6" s="19" t="s">
        <v>1035</v>
      </c>
      <c r="B6" s="19" t="s">
        <v>1036</v>
      </c>
      <c r="C6" s="20" t="s">
        <v>1049</v>
      </c>
      <c r="D6" s="21" t="s">
        <v>1050</v>
      </c>
      <c r="E6" s="23">
        <v>3</v>
      </c>
      <c r="F6" s="18" t="s">
        <v>12</v>
      </c>
      <c r="G6" s="21" t="s">
        <v>1051</v>
      </c>
      <c r="H6" s="21" t="s">
        <v>1052</v>
      </c>
    </row>
    <row r="7" spans="1:8" ht="30" customHeight="1" x14ac:dyDescent="0.25">
      <c r="A7" s="14" t="s">
        <v>1035</v>
      </c>
      <c r="B7" s="14" t="s">
        <v>1036</v>
      </c>
      <c r="C7" s="15" t="s">
        <v>1053</v>
      </c>
      <c r="D7" s="16" t="s">
        <v>1054</v>
      </c>
      <c r="E7" s="23">
        <v>3</v>
      </c>
      <c r="F7" s="18" t="s">
        <v>12</v>
      </c>
      <c r="G7" s="16" t="s">
        <v>1055</v>
      </c>
      <c r="H7" s="16" t="s">
        <v>1056</v>
      </c>
    </row>
    <row r="8" spans="1:8" ht="18" customHeight="1" x14ac:dyDescent="0.25">
      <c r="A8" s="13" t="s">
        <v>1057</v>
      </c>
      <c r="B8" s="13" t="s">
        <v>1058</v>
      </c>
      <c r="C8" s="13"/>
      <c r="D8" s="13"/>
      <c r="E8" s="13"/>
      <c r="F8" s="13"/>
      <c r="G8" s="13"/>
      <c r="H8" s="13"/>
    </row>
    <row r="9" spans="1:8" ht="30" customHeight="1" x14ac:dyDescent="0.25">
      <c r="A9" s="14" t="s">
        <v>1057</v>
      </c>
      <c r="B9" s="14" t="s">
        <v>1058</v>
      </c>
      <c r="C9" s="15" t="s">
        <v>1059</v>
      </c>
      <c r="D9" s="16" t="s">
        <v>1060</v>
      </c>
      <c r="E9" s="22">
        <v>1</v>
      </c>
      <c r="F9" s="18" t="s">
        <v>418</v>
      </c>
      <c r="G9" s="16" t="s">
        <v>1061</v>
      </c>
      <c r="H9" s="16" t="s">
        <v>1040</v>
      </c>
    </row>
    <row r="10" spans="1:8" ht="30" customHeight="1" x14ac:dyDescent="0.25">
      <c r="A10" s="19" t="s">
        <v>1057</v>
      </c>
      <c r="B10" s="19" t="s">
        <v>1058</v>
      </c>
      <c r="C10" s="20" t="s">
        <v>1062</v>
      </c>
      <c r="D10" s="21" t="s">
        <v>1063</v>
      </c>
      <c r="E10" s="17">
        <v>2</v>
      </c>
      <c r="F10" s="18" t="s">
        <v>12</v>
      </c>
      <c r="G10" s="21" t="s">
        <v>1064</v>
      </c>
      <c r="H10" s="21" t="s">
        <v>1065</v>
      </c>
    </row>
    <row r="11" spans="1:8" ht="30" customHeight="1" x14ac:dyDescent="0.25">
      <c r="A11" s="14" t="s">
        <v>1057</v>
      </c>
      <c r="B11" s="14" t="s">
        <v>1058</v>
      </c>
      <c r="C11" s="15" t="s">
        <v>1066</v>
      </c>
      <c r="D11" s="16" t="s">
        <v>1067</v>
      </c>
      <c r="E11" s="17">
        <v>2</v>
      </c>
      <c r="F11" s="18" t="s">
        <v>418</v>
      </c>
      <c r="G11" s="16" t="s">
        <v>1068</v>
      </c>
      <c r="H11" s="16" t="s">
        <v>1069</v>
      </c>
    </row>
    <row r="12" spans="1:8" ht="30" customHeight="1" x14ac:dyDescent="0.25">
      <c r="A12" s="19" t="s">
        <v>1057</v>
      </c>
      <c r="B12" s="19" t="s">
        <v>1058</v>
      </c>
      <c r="C12" s="20" t="s">
        <v>1070</v>
      </c>
      <c r="D12" s="21" t="s">
        <v>1071</v>
      </c>
      <c r="E12" s="23">
        <v>3</v>
      </c>
      <c r="F12" s="18" t="s">
        <v>418</v>
      </c>
      <c r="G12" s="21" t="s">
        <v>1300</v>
      </c>
      <c r="H12" s="21" t="s">
        <v>1072</v>
      </c>
    </row>
    <row r="13" spans="1:8" ht="30" customHeight="1" x14ac:dyDescent="0.25">
      <c r="A13" s="14" t="s">
        <v>1057</v>
      </c>
      <c r="B13" s="14" t="s">
        <v>1058</v>
      </c>
      <c r="C13" s="15" t="s">
        <v>1073</v>
      </c>
      <c r="D13" s="16" t="s">
        <v>1074</v>
      </c>
      <c r="E13" s="23">
        <v>3</v>
      </c>
      <c r="F13" s="18" t="s">
        <v>418</v>
      </c>
      <c r="G13" s="16" t="s">
        <v>1301</v>
      </c>
      <c r="H13" s="16" t="s">
        <v>1075</v>
      </c>
    </row>
    <row r="14" spans="1:8" ht="18" customHeight="1" x14ac:dyDescent="0.25">
      <c r="A14" s="13" t="s">
        <v>1076</v>
      </c>
      <c r="B14" s="13" t="s">
        <v>1077</v>
      </c>
      <c r="C14" s="13"/>
      <c r="D14" s="13"/>
      <c r="E14" s="13"/>
      <c r="F14" s="13"/>
      <c r="G14" s="13"/>
      <c r="H14" s="13"/>
    </row>
    <row r="15" spans="1:8" ht="30" customHeight="1" x14ac:dyDescent="0.25">
      <c r="A15" s="14" t="s">
        <v>1076</v>
      </c>
      <c r="B15" s="14" t="s">
        <v>1077</v>
      </c>
      <c r="C15" s="15" t="s">
        <v>1078</v>
      </c>
      <c r="D15" s="16" t="s">
        <v>1079</v>
      </c>
      <c r="E15" s="22">
        <v>1</v>
      </c>
      <c r="F15" s="18" t="s">
        <v>418</v>
      </c>
      <c r="G15" s="16" t="s">
        <v>1302</v>
      </c>
      <c r="H15" s="16" t="s">
        <v>718</v>
      </c>
    </row>
    <row r="16" spans="1:8" ht="30" customHeight="1" x14ac:dyDescent="0.25">
      <c r="A16" s="19" t="s">
        <v>1076</v>
      </c>
      <c r="B16" s="19" t="s">
        <v>1077</v>
      </c>
      <c r="C16" s="20" t="s">
        <v>1080</v>
      </c>
      <c r="D16" s="21" t="s">
        <v>1081</v>
      </c>
      <c r="E16" s="17">
        <v>2</v>
      </c>
      <c r="F16" s="18" t="s">
        <v>12</v>
      </c>
      <c r="G16" s="21" t="s">
        <v>1082</v>
      </c>
      <c r="H16" s="21" t="s">
        <v>939</v>
      </c>
    </row>
    <row r="17" spans="1:8" ht="30" customHeight="1" x14ac:dyDescent="0.25">
      <c r="A17" s="14" t="s">
        <v>1076</v>
      </c>
      <c r="B17" s="14" t="s">
        <v>1077</v>
      </c>
      <c r="C17" s="15" t="s">
        <v>1083</v>
      </c>
      <c r="D17" s="16" t="s">
        <v>1084</v>
      </c>
      <c r="E17" s="17">
        <v>2</v>
      </c>
      <c r="F17" s="18" t="s">
        <v>12</v>
      </c>
      <c r="G17" s="16" t="s">
        <v>1085</v>
      </c>
      <c r="H17" s="16" t="s">
        <v>1086</v>
      </c>
    </row>
    <row r="18" spans="1:8" ht="30" customHeight="1" x14ac:dyDescent="0.25">
      <c r="A18" s="19" t="s">
        <v>1076</v>
      </c>
      <c r="B18" s="19" t="s">
        <v>1077</v>
      </c>
      <c r="C18" s="20" t="s">
        <v>1087</v>
      </c>
      <c r="D18" s="21" t="s">
        <v>1088</v>
      </c>
      <c r="E18" s="17">
        <v>2</v>
      </c>
      <c r="F18" s="18" t="s">
        <v>418</v>
      </c>
      <c r="G18" s="21" t="s">
        <v>1089</v>
      </c>
      <c r="H18" s="21" t="s">
        <v>1090</v>
      </c>
    </row>
    <row r="19" spans="1:8" ht="30" customHeight="1" x14ac:dyDescent="0.25">
      <c r="A19" s="14" t="s">
        <v>1076</v>
      </c>
      <c r="B19" s="14" t="s">
        <v>1077</v>
      </c>
      <c r="C19" s="15" t="s">
        <v>1091</v>
      </c>
      <c r="D19" s="16" t="s">
        <v>1092</v>
      </c>
      <c r="E19" s="17">
        <v>2</v>
      </c>
      <c r="F19" s="18" t="s">
        <v>418</v>
      </c>
      <c r="G19" s="16" t="s">
        <v>1303</v>
      </c>
      <c r="H19" s="16" t="s">
        <v>232</v>
      </c>
    </row>
    <row r="20" spans="1:8" ht="30" customHeight="1" x14ac:dyDescent="0.25">
      <c r="A20" s="19" t="s">
        <v>1076</v>
      </c>
      <c r="B20" s="19" t="s">
        <v>1077</v>
      </c>
      <c r="C20" s="20" t="s">
        <v>1093</v>
      </c>
      <c r="D20" s="21" t="s">
        <v>1094</v>
      </c>
      <c r="E20" s="17">
        <v>2</v>
      </c>
      <c r="F20" s="18" t="s">
        <v>20</v>
      </c>
      <c r="G20" s="21" t="s">
        <v>1095</v>
      </c>
      <c r="H20" s="21"/>
    </row>
    <row r="21" spans="1:8" ht="30" customHeight="1" x14ac:dyDescent="0.25">
      <c r="A21" s="14" t="s">
        <v>1076</v>
      </c>
      <c r="B21" s="14" t="s">
        <v>1077</v>
      </c>
      <c r="C21" s="15" t="s">
        <v>1096</v>
      </c>
      <c r="D21" s="16" t="s">
        <v>1097</v>
      </c>
      <c r="E21" s="17">
        <v>2</v>
      </c>
      <c r="F21" s="18" t="s">
        <v>12</v>
      </c>
      <c r="G21" s="16" t="s">
        <v>1098</v>
      </c>
      <c r="H21" s="16" t="s">
        <v>232</v>
      </c>
    </row>
    <row r="22" spans="1:8" ht="18" customHeight="1" x14ac:dyDescent="0.25">
      <c r="A22" s="13" t="s">
        <v>1099</v>
      </c>
      <c r="B22" s="13" t="s">
        <v>1100</v>
      </c>
      <c r="C22" s="13"/>
      <c r="D22" s="13"/>
      <c r="E22" s="13"/>
      <c r="F22" s="13"/>
      <c r="G22" s="13"/>
      <c r="H22" s="13"/>
    </row>
    <row r="23" spans="1:8" ht="30" customHeight="1" x14ac:dyDescent="0.25">
      <c r="A23" s="14" t="s">
        <v>1099</v>
      </c>
      <c r="B23" s="14" t="s">
        <v>1100</v>
      </c>
      <c r="C23" s="15" t="s">
        <v>1101</v>
      </c>
      <c r="D23" s="16" t="s">
        <v>1102</v>
      </c>
      <c r="E23" s="23">
        <v>3</v>
      </c>
      <c r="F23" s="18" t="s">
        <v>418</v>
      </c>
      <c r="G23" s="16" t="s">
        <v>1304</v>
      </c>
      <c r="H23" s="16" t="s">
        <v>916</v>
      </c>
    </row>
    <row r="24" spans="1:8" ht="30" customHeight="1" x14ac:dyDescent="0.25">
      <c r="A24" s="19" t="s">
        <v>1099</v>
      </c>
      <c r="B24" s="19" t="s">
        <v>1100</v>
      </c>
      <c r="C24" s="20" t="s">
        <v>1103</v>
      </c>
      <c r="D24" s="21" t="s">
        <v>1104</v>
      </c>
      <c r="E24" s="23">
        <v>3</v>
      </c>
      <c r="F24" s="18" t="s">
        <v>418</v>
      </c>
      <c r="G24" s="21" t="s">
        <v>1305</v>
      </c>
      <c r="H24" s="21" t="s">
        <v>1105</v>
      </c>
    </row>
    <row r="25" spans="1:8" ht="30" customHeight="1" x14ac:dyDescent="0.25">
      <c r="A25" s="14" t="s">
        <v>1099</v>
      </c>
      <c r="B25" s="14" t="s">
        <v>1100</v>
      </c>
      <c r="C25" s="15" t="s">
        <v>1106</v>
      </c>
      <c r="D25" s="16" t="s">
        <v>1107</v>
      </c>
      <c r="E25" s="23">
        <v>3</v>
      </c>
      <c r="F25" s="18" t="s">
        <v>418</v>
      </c>
      <c r="G25" s="16" t="s">
        <v>1306</v>
      </c>
      <c r="H25" s="16" t="s">
        <v>1108</v>
      </c>
    </row>
    <row r="26" spans="1:8" ht="30" customHeight="1" x14ac:dyDescent="0.25">
      <c r="A26" s="19" t="s">
        <v>1099</v>
      </c>
      <c r="B26" s="19" t="s">
        <v>1100</v>
      </c>
      <c r="C26" s="20" t="s">
        <v>1109</v>
      </c>
      <c r="D26" s="21" t="s">
        <v>1110</v>
      </c>
      <c r="E26" s="23">
        <v>3</v>
      </c>
      <c r="F26" s="18" t="s">
        <v>418</v>
      </c>
      <c r="G26" s="21" t="s">
        <v>1307</v>
      </c>
      <c r="H26" s="21" t="s">
        <v>916</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abSelected="1" topLeftCell="E1" zoomScale="75" zoomScaleNormal="75" workbookViewId="0">
      <pane ySplit="1" topLeftCell="A2" activePane="bottomLeft" state="frozen"/>
      <selection pane="bottomLeft" activeCell="H12" sqref="H12"/>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1111</v>
      </c>
      <c r="B2" s="13" t="s">
        <v>1112</v>
      </c>
      <c r="C2" s="13"/>
      <c r="D2" s="13"/>
      <c r="E2" s="13"/>
      <c r="F2" s="13"/>
      <c r="G2" s="13"/>
      <c r="H2" s="13"/>
    </row>
    <row r="3" spans="1:8" ht="30" customHeight="1" x14ac:dyDescent="0.25">
      <c r="A3" s="14" t="s">
        <v>1111</v>
      </c>
      <c r="B3" s="14" t="s">
        <v>1112</v>
      </c>
      <c r="C3" s="15" t="s">
        <v>1113</v>
      </c>
      <c r="D3" s="16" t="s">
        <v>1114</v>
      </c>
      <c r="E3" s="17">
        <v>2</v>
      </c>
      <c r="F3" s="18" t="s">
        <v>12</v>
      </c>
      <c r="G3" s="16" t="s">
        <v>1115</v>
      </c>
      <c r="H3" s="16" t="s">
        <v>1116</v>
      </c>
    </row>
    <row r="4" spans="1:8" ht="18" customHeight="1" x14ac:dyDescent="0.25">
      <c r="A4" s="13" t="s">
        <v>1117</v>
      </c>
      <c r="B4" s="13" t="s">
        <v>1118</v>
      </c>
      <c r="C4" s="13"/>
      <c r="D4" s="13"/>
      <c r="E4" s="13"/>
      <c r="F4" s="13"/>
      <c r="G4" s="13"/>
      <c r="H4" s="13"/>
    </row>
    <row r="5" spans="1:8" ht="30" customHeight="1" x14ac:dyDescent="0.25">
      <c r="A5" s="14" t="s">
        <v>1117</v>
      </c>
      <c r="B5" s="14" t="s">
        <v>1118</v>
      </c>
      <c r="C5" s="15" t="s">
        <v>1119</v>
      </c>
      <c r="D5" s="16" t="s">
        <v>1120</v>
      </c>
      <c r="E5" s="17">
        <v>2</v>
      </c>
      <c r="F5" s="18" t="s">
        <v>418</v>
      </c>
      <c r="G5" s="16" t="s">
        <v>1308</v>
      </c>
      <c r="H5" s="16" t="s">
        <v>1121</v>
      </c>
    </row>
    <row r="6" spans="1:8" ht="30" customHeight="1" x14ac:dyDescent="0.25">
      <c r="A6" s="19" t="s">
        <v>1117</v>
      </c>
      <c r="B6" s="19" t="s">
        <v>1118</v>
      </c>
      <c r="C6" s="20" t="s">
        <v>1122</v>
      </c>
      <c r="D6" s="21" t="s">
        <v>1123</v>
      </c>
      <c r="E6" s="17">
        <v>2</v>
      </c>
      <c r="F6" s="18" t="s">
        <v>12</v>
      </c>
      <c r="G6" s="21" t="s">
        <v>1124</v>
      </c>
      <c r="H6" s="21" t="s">
        <v>1125</v>
      </c>
    </row>
    <row r="7" spans="1:8" ht="30" customHeight="1" x14ac:dyDescent="0.25">
      <c r="A7" s="14" t="s">
        <v>1117</v>
      </c>
      <c r="B7" s="14" t="s">
        <v>1118</v>
      </c>
      <c r="C7" s="15" t="s">
        <v>1126</v>
      </c>
      <c r="D7" s="16" t="s">
        <v>1127</v>
      </c>
      <c r="E7" s="17">
        <v>2</v>
      </c>
      <c r="F7" s="18" t="s">
        <v>12</v>
      </c>
      <c r="G7" s="16" t="s">
        <v>1128</v>
      </c>
      <c r="H7" s="16" t="s">
        <v>1129</v>
      </c>
    </row>
    <row r="8" spans="1:8" ht="30" customHeight="1" x14ac:dyDescent="0.25">
      <c r="A8" s="19" t="s">
        <v>1117</v>
      </c>
      <c r="B8" s="19" t="s">
        <v>1118</v>
      </c>
      <c r="C8" s="20" t="s">
        <v>1130</v>
      </c>
      <c r="D8" s="21" t="s">
        <v>1131</v>
      </c>
      <c r="E8" s="17">
        <v>2</v>
      </c>
      <c r="F8" s="18" t="s">
        <v>12</v>
      </c>
      <c r="G8" s="21" t="s">
        <v>1132</v>
      </c>
      <c r="H8" s="21" t="s">
        <v>1116</v>
      </c>
    </row>
    <row r="9" spans="1:8" ht="30" customHeight="1" x14ac:dyDescent="0.25">
      <c r="A9" s="14" t="s">
        <v>1117</v>
      </c>
      <c r="B9" s="14" t="s">
        <v>1118</v>
      </c>
      <c r="C9" s="15" t="s">
        <v>1133</v>
      </c>
      <c r="D9" s="16" t="s">
        <v>1134</v>
      </c>
      <c r="E9" s="17">
        <v>2</v>
      </c>
      <c r="F9" s="18" t="s">
        <v>418</v>
      </c>
      <c r="G9" s="16" t="s">
        <v>1135</v>
      </c>
      <c r="H9" s="16" t="s">
        <v>1136</v>
      </c>
    </row>
    <row r="10" spans="1:8" ht="18" customHeight="1" x14ac:dyDescent="0.25">
      <c r="A10" s="13" t="s">
        <v>1137</v>
      </c>
      <c r="B10" s="13" t="s">
        <v>1138</v>
      </c>
      <c r="C10" s="13"/>
      <c r="D10" s="13"/>
      <c r="E10" s="13"/>
      <c r="F10" s="13"/>
      <c r="G10" s="13"/>
      <c r="H10" s="13"/>
    </row>
    <row r="11" spans="1:8" ht="30" customHeight="1" x14ac:dyDescent="0.25">
      <c r="A11" s="14" t="s">
        <v>1137</v>
      </c>
      <c r="B11" s="14" t="s">
        <v>1138</v>
      </c>
      <c r="C11" s="15" t="s">
        <v>1139</v>
      </c>
      <c r="D11" s="16" t="s">
        <v>1140</v>
      </c>
      <c r="E11" s="17">
        <v>2</v>
      </c>
      <c r="F11" s="18" t="s">
        <v>418</v>
      </c>
      <c r="G11" s="16" t="s">
        <v>1141</v>
      </c>
      <c r="H11" s="16" t="s">
        <v>1142</v>
      </c>
    </row>
    <row r="12" spans="1:8" ht="30" customHeight="1" x14ac:dyDescent="0.25">
      <c r="A12" s="19" t="s">
        <v>1137</v>
      </c>
      <c r="B12" s="19" t="s">
        <v>1138</v>
      </c>
      <c r="C12" s="20" t="s">
        <v>1143</v>
      </c>
      <c r="D12" s="21" t="s">
        <v>1144</v>
      </c>
      <c r="E12" s="17">
        <v>2</v>
      </c>
      <c r="F12" s="18" t="s">
        <v>418</v>
      </c>
      <c r="G12" s="21" t="s">
        <v>1145</v>
      </c>
      <c r="H12" s="21" t="s">
        <v>1146</v>
      </c>
    </row>
    <row r="13" spans="1:8" ht="30" customHeight="1" x14ac:dyDescent="0.25">
      <c r="A13" s="14" t="s">
        <v>1137</v>
      </c>
      <c r="B13" s="14" t="s">
        <v>1138</v>
      </c>
      <c r="C13" s="15" t="s">
        <v>1147</v>
      </c>
      <c r="D13" s="16" t="s">
        <v>1148</v>
      </c>
      <c r="E13" s="17">
        <v>2</v>
      </c>
      <c r="F13" s="18" t="s">
        <v>710</v>
      </c>
      <c r="G13" s="16" t="s">
        <v>1309</v>
      </c>
      <c r="H13" s="16" t="s">
        <v>1149</v>
      </c>
    </row>
    <row r="14" spans="1:8" ht="30" customHeight="1" x14ac:dyDescent="0.25">
      <c r="A14" s="19" t="s">
        <v>1137</v>
      </c>
      <c r="B14" s="19" t="s">
        <v>1138</v>
      </c>
      <c r="C14" s="20" t="s">
        <v>1150</v>
      </c>
      <c r="D14" s="21" t="s">
        <v>1151</v>
      </c>
      <c r="E14" s="17">
        <v>2</v>
      </c>
      <c r="F14" s="18" t="s">
        <v>418</v>
      </c>
      <c r="G14" s="21" t="s">
        <v>1310</v>
      </c>
      <c r="H14" s="21" t="s">
        <v>1152</v>
      </c>
    </row>
    <row r="15" spans="1:8" ht="18" customHeight="1" x14ac:dyDescent="0.25">
      <c r="A15" s="13" t="s">
        <v>1153</v>
      </c>
      <c r="B15" s="13" t="s">
        <v>1154</v>
      </c>
      <c r="C15" s="13"/>
      <c r="D15" s="13"/>
      <c r="E15" s="13"/>
      <c r="F15" s="13"/>
      <c r="G15" s="13"/>
      <c r="H15" s="13"/>
    </row>
    <row r="16" spans="1:8" ht="30" customHeight="1" x14ac:dyDescent="0.25">
      <c r="A16" s="14" t="s">
        <v>1153</v>
      </c>
      <c r="B16" s="14" t="s">
        <v>1154</v>
      </c>
      <c r="C16" s="15" t="s">
        <v>1155</v>
      </c>
      <c r="D16" s="16" t="s">
        <v>1156</v>
      </c>
      <c r="E16" s="17">
        <v>2</v>
      </c>
      <c r="F16" s="18" t="s">
        <v>418</v>
      </c>
      <c r="G16" s="16" t="s">
        <v>1157</v>
      </c>
      <c r="H16" s="16" t="s">
        <v>1158</v>
      </c>
    </row>
    <row r="17" spans="1:8" ht="30" customHeight="1" x14ac:dyDescent="0.25">
      <c r="A17" s="19" t="s">
        <v>1153</v>
      </c>
      <c r="B17" s="19" t="s">
        <v>1154</v>
      </c>
      <c r="C17" s="20" t="s">
        <v>1159</v>
      </c>
      <c r="D17" s="21" t="s">
        <v>1160</v>
      </c>
      <c r="E17" s="17">
        <v>2</v>
      </c>
      <c r="F17" s="18" t="s">
        <v>12</v>
      </c>
      <c r="G17" s="21" t="s">
        <v>1161</v>
      </c>
      <c r="H17" s="21" t="s">
        <v>1162</v>
      </c>
    </row>
    <row r="18" spans="1:8" ht="30" customHeight="1" x14ac:dyDescent="0.25">
      <c r="A18" s="14" t="s">
        <v>1153</v>
      </c>
      <c r="B18" s="14" t="s">
        <v>1154</v>
      </c>
      <c r="C18" s="15" t="s">
        <v>1163</v>
      </c>
      <c r="D18" s="16" t="s">
        <v>1164</v>
      </c>
      <c r="E18" s="17">
        <v>2</v>
      </c>
      <c r="F18" s="18" t="s">
        <v>12</v>
      </c>
      <c r="G18" s="16" t="s">
        <v>1165</v>
      </c>
      <c r="H18" s="16" t="s">
        <v>1166</v>
      </c>
    </row>
    <row r="19" spans="1:8" ht="18" customHeight="1" x14ac:dyDescent="0.25">
      <c r="A19" s="13" t="s">
        <v>1167</v>
      </c>
      <c r="B19" s="13" t="s">
        <v>1168</v>
      </c>
      <c r="C19" s="13"/>
      <c r="D19" s="13"/>
      <c r="E19" s="13"/>
      <c r="F19" s="13"/>
      <c r="G19" s="13"/>
      <c r="H19" s="13"/>
    </row>
    <row r="20" spans="1:8" ht="30" customHeight="1" x14ac:dyDescent="0.25">
      <c r="A20" s="14" t="s">
        <v>1167</v>
      </c>
      <c r="B20" s="14" t="s">
        <v>1168</v>
      </c>
      <c r="C20" s="15" t="s">
        <v>1169</v>
      </c>
      <c r="D20" s="16" t="s">
        <v>1170</v>
      </c>
      <c r="E20" s="17">
        <v>2</v>
      </c>
      <c r="F20" s="18" t="s">
        <v>418</v>
      </c>
      <c r="G20" s="16" t="s">
        <v>1171</v>
      </c>
      <c r="H20" s="16" t="s">
        <v>1172</v>
      </c>
    </row>
    <row r="21" spans="1:8" ht="30" customHeight="1" x14ac:dyDescent="0.25">
      <c r="A21" s="19" t="s">
        <v>1167</v>
      </c>
      <c r="B21" s="19" t="s">
        <v>1168</v>
      </c>
      <c r="C21" s="20" t="s">
        <v>1173</v>
      </c>
      <c r="D21" s="21" t="s">
        <v>1174</v>
      </c>
      <c r="E21" s="17">
        <v>2</v>
      </c>
      <c r="F21" s="18" t="s">
        <v>710</v>
      </c>
      <c r="G21" s="21" t="s">
        <v>1311</v>
      </c>
      <c r="H21" s="21" t="s">
        <v>1175</v>
      </c>
    </row>
    <row r="22" spans="1:8" ht="30" customHeight="1" x14ac:dyDescent="0.25">
      <c r="A22" s="14" t="s">
        <v>1167</v>
      </c>
      <c r="B22" s="14" t="s">
        <v>1168</v>
      </c>
      <c r="C22" s="15" t="s">
        <v>1176</v>
      </c>
      <c r="D22" s="16" t="s">
        <v>1177</v>
      </c>
      <c r="E22" s="17">
        <v>2</v>
      </c>
      <c r="F22" s="18" t="s">
        <v>418</v>
      </c>
      <c r="G22" s="16" t="s">
        <v>1178</v>
      </c>
      <c r="H22" s="16" t="s">
        <v>1179</v>
      </c>
    </row>
    <row r="23" spans="1:8" ht="30" customHeight="1" x14ac:dyDescent="0.25">
      <c r="A23" s="19" t="s">
        <v>1167</v>
      </c>
      <c r="B23" s="19" t="s">
        <v>1168</v>
      </c>
      <c r="C23" s="20" t="s">
        <v>1180</v>
      </c>
      <c r="D23" s="21" t="s">
        <v>1181</v>
      </c>
      <c r="E23" s="23">
        <v>3</v>
      </c>
      <c r="F23" s="18" t="s">
        <v>418</v>
      </c>
      <c r="G23" s="21" t="s">
        <v>1182</v>
      </c>
      <c r="H23" s="21" t="s">
        <v>1179</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94" zoomScaleNormal="75" workbookViewId="0">
      <pane ySplit="1" topLeftCell="A2" activePane="bottomLeft" state="frozen"/>
      <selection pane="bottomLeft"/>
    </sheetView>
  </sheetViews>
  <sheetFormatPr defaultColWidth="8.42578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0</v>
      </c>
      <c r="B1" s="12" t="s">
        <v>1</v>
      </c>
      <c r="C1" s="12" t="s">
        <v>2</v>
      </c>
      <c r="D1" s="12" t="s">
        <v>3</v>
      </c>
      <c r="E1" s="12" t="s">
        <v>4</v>
      </c>
      <c r="F1" s="12" t="s">
        <v>5</v>
      </c>
      <c r="G1" s="12" t="s">
        <v>6</v>
      </c>
      <c r="H1" s="12" t="s">
        <v>7</v>
      </c>
    </row>
    <row r="2" spans="1:8" ht="18" customHeight="1" x14ac:dyDescent="0.25">
      <c r="A2" s="13" t="s">
        <v>1183</v>
      </c>
      <c r="B2" s="13" t="s">
        <v>1184</v>
      </c>
      <c r="C2" s="13"/>
      <c r="D2" s="13"/>
      <c r="E2" s="13"/>
      <c r="F2" s="13"/>
      <c r="G2" s="13"/>
      <c r="H2" s="13"/>
    </row>
    <row r="3" spans="1:8" ht="30" customHeight="1" x14ac:dyDescent="0.25">
      <c r="A3" s="14" t="s">
        <v>1183</v>
      </c>
      <c r="B3" s="14" t="s">
        <v>1184</v>
      </c>
      <c r="C3" s="15" t="s">
        <v>1185</v>
      </c>
      <c r="D3" s="16" t="s">
        <v>1186</v>
      </c>
      <c r="E3" s="17">
        <v>2</v>
      </c>
      <c r="F3" s="18" t="s">
        <v>20</v>
      </c>
      <c r="G3" s="16" t="s">
        <v>1187</v>
      </c>
      <c r="H3" s="16"/>
    </row>
    <row r="4" spans="1:8" ht="30" customHeight="1" x14ac:dyDescent="0.25">
      <c r="A4" s="19" t="s">
        <v>1183</v>
      </c>
      <c r="B4" s="19" t="s">
        <v>1184</v>
      </c>
      <c r="C4" s="20" t="s">
        <v>1188</v>
      </c>
      <c r="D4" s="21" t="s">
        <v>1189</v>
      </c>
      <c r="E4" s="23">
        <v>3</v>
      </c>
      <c r="F4" s="18" t="s">
        <v>20</v>
      </c>
      <c r="G4" s="21" t="s">
        <v>1190</v>
      </c>
      <c r="H4" s="21"/>
    </row>
    <row r="5" spans="1:8" ht="18" customHeight="1" x14ac:dyDescent="0.25">
      <c r="A5" s="13" t="s">
        <v>1191</v>
      </c>
      <c r="B5" s="13" t="s">
        <v>1192</v>
      </c>
      <c r="C5" s="13"/>
      <c r="D5" s="13"/>
      <c r="E5" s="13"/>
      <c r="F5" s="13"/>
      <c r="G5" s="13"/>
      <c r="H5" s="13"/>
    </row>
    <row r="6" spans="1:8" ht="30" customHeight="1" x14ac:dyDescent="0.25">
      <c r="A6" s="14" t="s">
        <v>1191</v>
      </c>
      <c r="B6" s="14" t="s">
        <v>1192</v>
      </c>
      <c r="C6" s="15" t="s">
        <v>1193</v>
      </c>
      <c r="D6" s="16" t="s">
        <v>1194</v>
      </c>
      <c r="E6" s="17">
        <v>2</v>
      </c>
      <c r="F6" s="18" t="s">
        <v>20</v>
      </c>
      <c r="G6" s="16" t="s">
        <v>1195</v>
      </c>
      <c r="H6" s="16"/>
    </row>
    <row r="7" spans="1:8" ht="30" customHeight="1" x14ac:dyDescent="0.25">
      <c r="A7" s="19" t="s">
        <v>1191</v>
      </c>
      <c r="B7" s="19" t="s">
        <v>1192</v>
      </c>
      <c r="C7" s="20" t="s">
        <v>1196</v>
      </c>
      <c r="D7" s="21" t="s">
        <v>1197</v>
      </c>
      <c r="E7" s="17">
        <v>2</v>
      </c>
      <c r="F7" s="18" t="s">
        <v>20</v>
      </c>
      <c r="G7" s="21" t="s">
        <v>1198</v>
      </c>
      <c r="H7" s="21"/>
    </row>
    <row r="8" spans="1:8" ht="30" customHeight="1" x14ac:dyDescent="0.25">
      <c r="A8" s="14" t="s">
        <v>1191</v>
      </c>
      <c r="B8" s="14" t="s">
        <v>1192</v>
      </c>
      <c r="C8" s="15" t="s">
        <v>1199</v>
      </c>
      <c r="D8" s="16" t="s">
        <v>1200</v>
      </c>
      <c r="E8" s="17">
        <v>2</v>
      </c>
      <c r="F8" s="18" t="s">
        <v>20</v>
      </c>
      <c r="G8" s="16" t="s">
        <v>1201</v>
      </c>
      <c r="H8" s="16"/>
    </row>
    <row r="9" spans="1:8" ht="30" customHeight="1" x14ac:dyDescent="0.25">
      <c r="A9" s="19" t="s">
        <v>1191</v>
      </c>
      <c r="B9" s="19" t="s">
        <v>1192</v>
      </c>
      <c r="C9" s="20" t="s">
        <v>1202</v>
      </c>
      <c r="D9" s="21" t="s">
        <v>1203</v>
      </c>
      <c r="E9" s="17">
        <v>2</v>
      </c>
      <c r="F9" s="18" t="s">
        <v>20</v>
      </c>
      <c r="G9" s="21" t="s">
        <v>1198</v>
      </c>
      <c r="H9" s="21"/>
    </row>
    <row r="10" spans="1:8" ht="30" customHeight="1" x14ac:dyDescent="0.25">
      <c r="A10" s="14" t="s">
        <v>1191</v>
      </c>
      <c r="B10" s="14" t="s">
        <v>1192</v>
      </c>
      <c r="C10" s="15" t="s">
        <v>1204</v>
      </c>
      <c r="D10" s="16" t="s">
        <v>1205</v>
      </c>
      <c r="E10" s="23">
        <v>3</v>
      </c>
      <c r="F10" s="18" t="s">
        <v>20</v>
      </c>
      <c r="G10" s="16" t="s">
        <v>1198</v>
      </c>
      <c r="H10" s="16"/>
    </row>
    <row r="11" spans="1:8" ht="30" customHeight="1" x14ac:dyDescent="0.25">
      <c r="A11" s="19" t="s">
        <v>1191</v>
      </c>
      <c r="B11" s="19" t="s">
        <v>1192</v>
      </c>
      <c r="C11" s="20" t="s">
        <v>1206</v>
      </c>
      <c r="D11" s="21" t="s">
        <v>1207</v>
      </c>
      <c r="E11" s="23">
        <v>3</v>
      </c>
      <c r="F11" s="18" t="s">
        <v>20</v>
      </c>
      <c r="G11" s="21" t="s">
        <v>1198</v>
      </c>
      <c r="H11" s="21"/>
    </row>
    <row r="12" spans="1:8" ht="30" customHeight="1" x14ac:dyDescent="0.25">
      <c r="A12" s="14" t="s">
        <v>1191</v>
      </c>
      <c r="B12" s="14" t="s">
        <v>1192</v>
      </c>
      <c r="C12" s="15" t="s">
        <v>1208</v>
      </c>
      <c r="D12" s="16" t="s">
        <v>1209</v>
      </c>
      <c r="E12" s="23">
        <v>3</v>
      </c>
      <c r="F12" s="18" t="s">
        <v>20</v>
      </c>
      <c r="G12" s="16" t="s">
        <v>1210</v>
      </c>
      <c r="H12" s="16"/>
    </row>
    <row r="13" spans="1:8" ht="30" customHeight="1" x14ac:dyDescent="0.25">
      <c r="A13" s="19" t="s">
        <v>1191</v>
      </c>
      <c r="B13" s="19" t="s">
        <v>1192</v>
      </c>
      <c r="C13" s="20" t="s">
        <v>1211</v>
      </c>
      <c r="D13" s="21" t="s">
        <v>1212</v>
      </c>
      <c r="E13" s="23">
        <v>3</v>
      </c>
      <c r="F13" s="18" t="s">
        <v>20</v>
      </c>
      <c r="G13" s="21" t="s">
        <v>1213</v>
      </c>
      <c r="H13" s="21"/>
    </row>
    <row r="14" spans="1:8" ht="18" customHeight="1" x14ac:dyDescent="0.25">
      <c r="A14" s="13" t="s">
        <v>1214</v>
      </c>
      <c r="B14" s="13" t="s">
        <v>1215</v>
      </c>
      <c r="C14" s="13"/>
      <c r="D14" s="13"/>
      <c r="E14" s="13"/>
      <c r="F14" s="13"/>
      <c r="G14" s="13"/>
      <c r="H14" s="13"/>
    </row>
    <row r="15" spans="1:8" ht="30" customHeight="1" x14ac:dyDescent="0.25">
      <c r="A15" s="14" t="s">
        <v>1214</v>
      </c>
      <c r="B15" s="14" t="s">
        <v>1215</v>
      </c>
      <c r="C15" s="15" t="s">
        <v>1216</v>
      </c>
      <c r="D15" s="16" t="s">
        <v>1217</v>
      </c>
      <c r="E15" s="17">
        <v>2</v>
      </c>
      <c r="F15" s="18" t="s">
        <v>20</v>
      </c>
      <c r="G15" s="16" t="s">
        <v>1218</v>
      </c>
      <c r="H15" s="16"/>
    </row>
    <row r="16" spans="1:8" ht="30" customHeight="1" x14ac:dyDescent="0.25">
      <c r="A16" s="19" t="s">
        <v>1214</v>
      </c>
      <c r="B16" s="19" t="s">
        <v>1215</v>
      </c>
      <c r="C16" s="20" t="s">
        <v>1219</v>
      </c>
      <c r="D16" s="21" t="s">
        <v>1220</v>
      </c>
      <c r="E16" s="17">
        <v>2</v>
      </c>
      <c r="F16" s="18" t="s">
        <v>20</v>
      </c>
      <c r="G16" s="21" t="s">
        <v>1218</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Lourenço Mendes (1201270)</cp:lastModifiedBy>
  <cp:revision>3</cp:revision>
  <dcterms:created xsi:type="dcterms:W3CDTF">2026-03-04T10:14:28Z</dcterms:created>
  <dcterms:modified xsi:type="dcterms:W3CDTF">2026-06-16T21:29:30Z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