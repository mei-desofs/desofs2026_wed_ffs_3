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loura\Desktop\Mestrado\desofs2026_wed_ffs_3\Deliverables\"/>
    </mc:Choice>
  </mc:AlternateContent>
  <xr:revisionPtr revIDLastSave="0" documentId="13_ncr:1_{F813DFFD-6E44-4504-81F1-25561B2C9B17}" xr6:coauthVersionLast="47" xr6:coauthVersionMax="47" xr10:uidLastSave="{00000000-0000-0000-0000-000000000000}"/>
  <bookViews>
    <workbookView xWindow="-120" yWindow="-120" windowWidth="29040" windowHeight="15720" tabRatio="500" firstSheet="9" activeTab="12" xr2:uid="{00000000-000D-0000-FFFF-FFFF00000000}"/>
  </bookViews>
  <sheets>
    <sheet name="Summary" sheetId="1" r:id="rId1"/>
    <sheet name="V1 - Encoding and Sanitization" sheetId="2" r:id="rId2"/>
    <sheet name="V2 - Validation and Business Lo" sheetId="3" r:id="rId3"/>
    <sheet name="V3 - Web Frontend Security" sheetId="4" r:id="rId4"/>
    <sheet name="V4 - API and Web Service" sheetId="5" r:id="rId5"/>
    <sheet name="V5 - File Handling" sheetId="6" r:id="rId6"/>
    <sheet name="V6 - Authentication" sheetId="7" r:id="rId7"/>
    <sheet name="V7 - Session Management" sheetId="8" r:id="rId8"/>
    <sheet name="V8 - Authorization" sheetId="9" r:id="rId9"/>
    <sheet name="V9 - Self-contained Tokens" sheetId="10" r:id="rId10"/>
    <sheet name="V10 - OAuth and OIDC" sheetId="11" r:id="rId11"/>
    <sheet name="V11 - Cryptography" sheetId="12" r:id="rId12"/>
    <sheet name="V12 - Secure Communication" sheetId="13" r:id="rId13"/>
    <sheet name="V13 - Configuration" sheetId="14" r:id="rId14"/>
    <sheet name="V14 - Data Protection" sheetId="15" r:id="rId15"/>
    <sheet name="V15 - Secure Coding and Archite" sheetId="16" r:id="rId16"/>
    <sheet name="V16 - Security Logging and Erro" sheetId="17" r:id="rId17"/>
    <sheet name="V17 - WebRTC" sheetId="18" r:id="rId1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3" i="1" l="1"/>
  <c r="F23" i="1"/>
  <c r="C23" i="1"/>
  <c r="B23" i="1"/>
  <c r="L22" i="1"/>
  <c r="M22" i="1" s="1"/>
  <c r="J22" i="1"/>
  <c r="K22" i="1" s="1"/>
  <c r="G22" i="1"/>
  <c r="H22" i="1" s="1"/>
  <c r="L21" i="1"/>
  <c r="M21" i="1" s="1"/>
  <c r="J21" i="1"/>
  <c r="K21" i="1" s="1"/>
  <c r="G21" i="1"/>
  <c r="H21" i="1" s="1"/>
  <c r="L20" i="1"/>
  <c r="M20" i="1" s="1"/>
  <c r="J20" i="1"/>
  <c r="K20" i="1" s="1"/>
  <c r="G20" i="1"/>
  <c r="H20" i="1" s="1"/>
  <c r="D20" i="1"/>
  <c r="E20" i="1" s="1"/>
  <c r="L19" i="1"/>
  <c r="M19" i="1" s="1"/>
  <c r="J19" i="1"/>
  <c r="K19" i="1" s="1"/>
  <c r="G19" i="1"/>
  <c r="H19" i="1" s="1"/>
  <c r="D19" i="1"/>
  <c r="E19" i="1" s="1"/>
  <c r="L18" i="1"/>
  <c r="M18" i="1" s="1"/>
  <c r="J18" i="1"/>
  <c r="K18" i="1" s="1"/>
  <c r="G18" i="1"/>
  <c r="H18" i="1" s="1"/>
  <c r="D18" i="1"/>
  <c r="E18" i="1" s="1"/>
  <c r="L17" i="1"/>
  <c r="M17" i="1" s="1"/>
  <c r="J17" i="1"/>
  <c r="K17" i="1" s="1"/>
  <c r="G17" i="1"/>
  <c r="H17" i="1" s="1"/>
  <c r="D17" i="1"/>
  <c r="E17" i="1" s="1"/>
  <c r="L16" i="1"/>
  <c r="M16" i="1" s="1"/>
  <c r="J16" i="1"/>
  <c r="K16" i="1" s="1"/>
  <c r="G16" i="1"/>
  <c r="H16" i="1" s="1"/>
  <c r="D16" i="1"/>
  <c r="E16" i="1" s="1"/>
  <c r="L15" i="1"/>
  <c r="M15" i="1" s="1"/>
  <c r="J15" i="1"/>
  <c r="K15" i="1" s="1"/>
  <c r="G15" i="1"/>
  <c r="H15" i="1" s="1"/>
  <c r="D15" i="1"/>
  <c r="E15" i="1" s="1"/>
  <c r="L14" i="1"/>
  <c r="M14" i="1" s="1"/>
  <c r="G14" i="1"/>
  <c r="H14" i="1" s="1"/>
  <c r="D14" i="1"/>
  <c r="E14" i="1" s="1"/>
  <c r="L13" i="1"/>
  <c r="M13" i="1" s="1"/>
  <c r="J13" i="1"/>
  <c r="K13" i="1" s="1"/>
  <c r="G13" i="1"/>
  <c r="H13" i="1" s="1"/>
  <c r="D13" i="1"/>
  <c r="E13" i="1" s="1"/>
  <c r="L12" i="1"/>
  <c r="M12" i="1" s="1"/>
  <c r="J12" i="1"/>
  <c r="K12" i="1" s="1"/>
  <c r="G12" i="1"/>
  <c r="H12" i="1" s="1"/>
  <c r="D12" i="1"/>
  <c r="E12" i="1" s="1"/>
  <c r="L11" i="1"/>
  <c r="M11" i="1" s="1"/>
  <c r="J11" i="1"/>
  <c r="K11" i="1" s="1"/>
  <c r="G11" i="1"/>
  <c r="H11" i="1" s="1"/>
  <c r="D11" i="1"/>
  <c r="E11" i="1" s="1"/>
  <c r="L10" i="1"/>
  <c r="M10" i="1" s="1"/>
  <c r="J10" i="1"/>
  <c r="K10" i="1" s="1"/>
  <c r="G10" i="1"/>
  <c r="H10" i="1" s="1"/>
  <c r="D10" i="1"/>
  <c r="E10" i="1" s="1"/>
  <c r="L9" i="1"/>
  <c r="M9" i="1" s="1"/>
  <c r="J9" i="1"/>
  <c r="K9" i="1" s="1"/>
  <c r="G9" i="1"/>
  <c r="H9" i="1" s="1"/>
  <c r="D9" i="1"/>
  <c r="E9" i="1" s="1"/>
  <c r="L8" i="1"/>
  <c r="M8" i="1" s="1"/>
  <c r="J8" i="1"/>
  <c r="K8" i="1" s="1"/>
  <c r="G8" i="1"/>
  <c r="H8" i="1" s="1"/>
  <c r="D8" i="1"/>
  <c r="E8" i="1" s="1"/>
  <c r="L7" i="1"/>
  <c r="M7" i="1" s="1"/>
  <c r="J7" i="1"/>
  <c r="K7" i="1" s="1"/>
  <c r="G7" i="1"/>
  <c r="H7" i="1" s="1"/>
  <c r="D7" i="1"/>
  <c r="E7" i="1" s="1"/>
  <c r="L6" i="1"/>
  <c r="J6" i="1"/>
  <c r="G6" i="1"/>
  <c r="D6" i="1"/>
  <c r="E6" i="1" s="1"/>
  <c r="L23" i="1" l="1"/>
  <c r="E23" i="1"/>
  <c r="G23" i="1"/>
  <c r="J23" i="1"/>
  <c r="D23" i="1"/>
  <c r="H6" i="1"/>
  <c r="H23" i="1" s="1"/>
  <c r="K6" i="1"/>
  <c r="K23" i="1" s="1"/>
  <c r="M6" i="1"/>
  <c r="M23" i="1" s="1"/>
</calcChain>
</file>

<file path=xl/sharedStrings.xml><?xml version="1.0" encoding="utf-8"?>
<sst xmlns="http://schemas.openxmlformats.org/spreadsheetml/2006/main" count="2580" uniqueCount="1312">
  <si>
    <t>Section ID</t>
  </si>
  <si>
    <t>Section Name</t>
  </si>
  <si>
    <t>Req ID</t>
  </si>
  <si>
    <t>Description</t>
  </si>
  <si>
    <t>Level</t>
  </si>
  <si>
    <t>Status</t>
  </si>
  <si>
    <t>Observations</t>
  </si>
  <si>
    <t>Reference / Link</t>
  </si>
  <si>
    <t>V11.1</t>
  </si>
  <si>
    <t>Cryptographic Inventory and Documentation</t>
  </si>
  <si>
    <t>V11.1.1</t>
  </si>
  <si>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</si>
  <si>
    <t>Not Started</t>
  </si>
  <si>
    <t>SDR01a</t>
  </si>
  <si>
    <t>V11.1.2</t>
  </si>
  <si>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</si>
  <si>
    <t>Inventory must include: RS256 key pair, bcrypt/Argon2 for passwords, TLS certificates</t>
  </si>
  <si>
    <t>SDR01, NFR02</t>
  </si>
  <si>
    <t>V11.1.3</t>
  </si>
  <si>
    <t>Verify that cryptographic discovery mechanisms are employed to identify all instances of cryptography in the system, including encryption, hashing, and signing operations.</t>
  </si>
  <si>
    <t>Not Applicable</t>
  </si>
  <si>
    <t>Out of scope for this project phase</t>
  </si>
  <si>
    <t>V11.1.4</t>
  </si>
  <si>
    <t>Verify that a cryptographic inventory is maintained. This must include a documented plan that outlines the migration path to new cryptographic standards, such as post-quantum cryptography, in order to react to future threats.</t>
  </si>
  <si>
    <t>Document fallback plan if RS256 or bcrypt is deprecated</t>
  </si>
  <si>
    <t>V11.2</t>
  </si>
  <si>
    <t>Secure Cryptography Implementation</t>
  </si>
  <si>
    <t>V11.2.1</t>
  </si>
  <si>
    <t>Verify that industry-validated implementations (including libraries and hardware-accelerated implementations) are used for cryptographic operations.</t>
  </si>
  <si>
    <t>SDR01</t>
  </si>
  <si>
    <t>V11.2.2</t>
  </si>
  <si>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</si>
  <si>
    <t>V11.2.3</t>
  </si>
  <si>
    <t>Verify that all cryptographic primitives utilize a minimum of 128-bits of security based on the algorithm, key size, and configuration. For example, a 256-bit ECC key provides roughly 128 bits of security where RSA requires a 3072-bit key to achieve 128 bits of security.</t>
  </si>
  <si>
    <t>V11.2.4</t>
  </si>
  <si>
    <t>Verify that all cryptographic operations are constant-time, with no 'short-circuit' operations in comparisons, calculations, or returns, to avoid leaking information.</t>
  </si>
  <si>
    <t>NFR02</t>
  </si>
  <si>
    <t>V11.2.5</t>
  </si>
  <si>
    <t>Verify that all cryptographic modules fail securely, and errors are handled in a way that does not enable vulnerabilities, such as Padding Oracle attacks.</t>
  </si>
  <si>
    <t>SDR12</t>
  </si>
  <si>
    <t>V11.3</t>
  </si>
  <si>
    <t>Encryption Algorithms</t>
  </si>
  <si>
    <t>V11.3.1</t>
  </si>
  <si>
    <t>Verify that insecure block modes (e.g., ECB) and weak padding schemes (e.g., PKCS#1 v1.5) are not used.</t>
  </si>
  <si>
    <t>V11.3.2</t>
  </si>
  <si>
    <t>Verify that only approved ciphers and modes such as AES with GCM are used.</t>
  </si>
  <si>
    <t>NFR01</t>
  </si>
  <si>
    <t>V11.3.3</t>
  </si>
  <si>
    <t>Verify that encrypted data is protected against unauthorized modification preferably by using an approved authenticated encryption method or by combining an approved encryption method with an approved MAC algorithm.</t>
  </si>
  <si>
    <t>V11.3.4</t>
  </si>
  <si>
    <t>Verify that nonces, initialization vectors, and other single-use numbers are not used for more than one encryption key and data-element pair. The method of generation must be appropriate for the algorithm being used.</t>
  </si>
  <si>
    <t>SDR01b</t>
  </si>
  <si>
    <t>V11.3.5</t>
  </si>
  <si>
    <t>Verify that any combination of an encryption algorithm and a MAC algorithm is operating in encrypt-then-MAC mode.</t>
  </si>
  <si>
    <t>AES-GCM (AEAD) already provides authentication — no separate MAC needed</t>
  </si>
  <si>
    <t>V11.4</t>
  </si>
  <si>
    <t>Hashing and Hash-based Functions</t>
  </si>
  <si>
    <t>V11.4.1</t>
  </si>
  <si>
    <t>Verify that only approved hash functions are used for general cryptographic use cases, including digital signatures, HMAC, KDF, and random bit generation. Disallowed hash functions, such as MD5, must not be used for any cryptographic purpose.</t>
  </si>
  <si>
    <t>V11.4.2</t>
  </si>
  <si>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</si>
  <si>
    <t>V11.4.3</t>
  </si>
  <si>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</si>
  <si>
    <t>V11.4.4</t>
  </si>
  <si>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</si>
  <si>
    <t>V11.5</t>
  </si>
  <si>
    <t>Random Values</t>
  </si>
  <si>
    <t>V11.5.1</t>
  </si>
  <si>
    <t>Verify that all random numbers and strings which are intended to be non-guessable must be generated using a cryptographically secure pseudo-random number generator (CSPRNG) and have at least 128 bits of entropy. Note that UUIDs do not respect this condition.</t>
  </si>
  <si>
    <t>V11.5.2</t>
  </si>
  <si>
    <t>Verify that the random number generation mechanism in use is designed to work securely, even under heavy demand.</t>
  </si>
  <si>
    <t>V11.6</t>
  </si>
  <si>
    <t>Public Key Cryptography</t>
  </si>
  <si>
    <t>V11.6.1</t>
  </si>
  <si>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</si>
  <si>
    <t>V11.6.2</t>
  </si>
  <si>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</si>
  <si>
    <t>V11.7</t>
  </si>
  <si>
    <t>In-Use Data Cryptography</t>
  </si>
  <si>
    <t>V11.7.1</t>
  </si>
  <si>
    <t>Verify that full memory encryption is in use that protects sensitive data while it is in use, preventing access by unauthorized users or processes.</t>
  </si>
  <si>
    <t>Infrastructure-level concern; out of scope for application layer</t>
  </si>
  <si>
    <t>V11.7.2</t>
  </si>
  <si>
    <t>Verify that data minimization ensures the minimal amount of data is exposed during processing, and ensure that data is encrypted immediately after use or as soon as feasible.</t>
  </si>
  <si>
    <t>SDR16</t>
  </si>
  <si>
    <t>OWASP ASVS 5.0 – Compliance Tracker</t>
  </si>
  <si>
    <t>Chapter</t>
  </si>
  <si>
    <t>Total
Reqs</t>
  </si>
  <si>
    <t>L1
Total</t>
  </si>
  <si>
    <t>L1
Compliant</t>
  </si>
  <si>
    <t>L1
%</t>
  </si>
  <si>
    <t>L2
Total</t>
  </si>
  <si>
    <t>L2
Compliant</t>
  </si>
  <si>
    <t>L2
%</t>
  </si>
  <si>
    <t>L3
Total</t>
  </si>
  <si>
    <t>L3
Compliant</t>
  </si>
  <si>
    <t>L3
%</t>
  </si>
  <si>
    <t>Overall
Compliant</t>
  </si>
  <si>
    <t>Overall
%</t>
  </si>
  <si>
    <t>V1 – Encoding and Sanitization</t>
  </si>
  <si>
    <t>V2 – Validation and Business Logic</t>
  </si>
  <si>
    <t>V3 – Web Frontend Security</t>
  </si>
  <si>
    <t>V4 – API and Web Service</t>
  </si>
  <si>
    <t>V5 – File Handling</t>
  </si>
  <si>
    <t>V6 – Authentication</t>
  </si>
  <si>
    <t>V7 – Session Management</t>
  </si>
  <si>
    <t>V8 – Authorization</t>
  </si>
  <si>
    <t>V9 – Self-contained Tokens</t>
  </si>
  <si>
    <t>N/A</t>
  </si>
  <si>
    <t>V10 – OAuth and OIDC</t>
  </si>
  <si>
    <t>V11 – Cryptography</t>
  </si>
  <si>
    <t>V12 – Secure Communication</t>
  </si>
  <si>
    <t>V13 – Configuration</t>
  </si>
  <si>
    <t>V14 – Data Protection</t>
  </si>
  <si>
    <t>V15 – Secure Coding and Architecture</t>
  </si>
  <si>
    <t>V16 – Security Logging and Error Handling</t>
  </si>
  <si>
    <t>V17 – WebRTC</t>
  </si>
  <si>
    <t>TOTAL</t>
  </si>
  <si>
    <t>V1.1</t>
  </si>
  <si>
    <t>Encoding and Sanitization Architecture</t>
  </si>
  <si>
    <t>V1.1.1</t>
  </si>
  <si>
    <t>Verify that input is decoded or unescaped into a canonical form only once, it is only decoded when encoded data in that form is expected, and that this is done before processing the input further, for example it is not performed after input validation or sanitization.</t>
  </si>
  <si>
    <t xml:space="preserve">Spring/Jackson faz parsing único de JSON	</t>
  </si>
  <si>
    <t xml:space="preserve">SDR06 </t>
  </si>
  <si>
    <t>V1.1.2</t>
  </si>
  <si>
    <t>Verify that the application performs output encoding and escaping either as a final step before being used by the interpreter for which it is intended or by the interpreter itself.</t>
  </si>
  <si>
    <t xml:space="preserve">Jackson serializa JSON automaticamente </t>
  </si>
  <si>
    <t>SDR09</t>
  </si>
  <si>
    <t>V1.2</t>
  </si>
  <si>
    <t>Injection Prevention</t>
  </si>
  <si>
    <t>V1.2.1</t>
  </si>
  <si>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</si>
  <si>
    <t xml:space="preserve">API retorna apenas JSON; sem HTML rendering </t>
  </si>
  <si>
    <t>V1.2.2</t>
  </si>
  <si>
    <t>Verify that when dynamically building URLs, untrusted data is encoded according to its context (e.g., URL encoding or base64url encoding for query or path parameters). Ensure that only safe URL protocols are permitted (e.g., disallow javascript: or data:).</t>
  </si>
  <si>
    <t xml:space="preserve">API não constrói URLs dinâmicas com input do utilizador </t>
  </si>
  <si>
    <t>V1.2.3</t>
  </si>
  <si>
    <t>Verify that output encoding or escaping is used when dynamically building JavaScript content (including JSON), to avoid changing the message or document structure (to avoid JavaScript and JSON injection).</t>
  </si>
  <si>
    <t xml:space="preserve">REST API JSON; sem contexto JavaScript </t>
  </si>
  <si>
    <t>V1.2.4</t>
  </si>
  <si>
    <t>Verify that data selection or database queries (e.g., SQL, HQL, NoSQL, Cypher) use parameterized queries, ORMs, entity frameworks, or are otherwise protected from SQL Injection and other database injection attacks. This is also relevant when writing stored procedures.</t>
  </si>
  <si>
    <t xml:space="preserve">SDR08 / TC17 </t>
  </si>
  <si>
    <t>V1.2.5</t>
  </si>
  <si>
    <t>Verify that the application protects against OS command injection and that operating system calls use parameterized OS queries or use contextual command line output encoding.</t>
  </si>
  <si>
    <t xml:space="preserve">SDR13 / TC15 </t>
  </si>
  <si>
    <t>V1.2.6</t>
  </si>
  <si>
    <t>Verify that the application protects against LDAP injection vulnerabilities, or that specific security controls to prevent LDAP injection have been implemented.</t>
  </si>
  <si>
    <t xml:space="preserve">Sem LDAP no sistema </t>
  </si>
  <si>
    <t>V1.2.7</t>
  </si>
  <si>
    <t>Verify that the application is protected against XPath injection attacks by using query parameterization or precompiled queries.</t>
  </si>
  <si>
    <t xml:space="preserve">Sem XML/XPath </t>
  </si>
  <si>
    <t>V1.2.8</t>
  </si>
  <si>
    <t>Verify that LaTeX processors are configured securely (such as not using the "--shell-escape" flag) and an allowlist of commands is used to prevent LaTeX injection attacks.</t>
  </si>
  <si>
    <t xml:space="preserve">Sem LaTeX </t>
  </si>
  <si>
    <t>V1.2.9</t>
  </si>
  <si>
    <t>Verify that the application escapes special characters in regular expressions (typically using a backslash) to prevent them from being misinterpreted as metacharacters.</t>
  </si>
  <si>
    <t xml:space="preserve">Regex de validação de filenames (^[a-zA-Z0-9_\-]+\.csv$) </t>
  </si>
  <si>
    <t>SDR13</t>
  </si>
  <si>
    <t>V1.2.10</t>
  </si>
  <si>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</si>
  <si>
    <t xml:space="preserve">Coffeetaria gera CSV — vetor real (nomes de pratos com =CMD) </t>
  </si>
  <si>
    <t xml:space="preserve">SDR14 / TC37 </t>
  </si>
  <si>
    <t>V1.3</t>
  </si>
  <si>
    <t>Sanitization</t>
  </si>
  <si>
    <t>V1.3.1</t>
  </si>
  <si>
    <t>Verify that all untrusted HTML input from WYSIWYG editors or similar is sanitized using a well-known and secure HTML sanitization library or framework feature.</t>
  </si>
  <si>
    <t xml:space="preserve">Sem WYSIWYG </t>
  </si>
  <si>
    <t>V1.3.2</t>
  </si>
  <si>
    <t>Verify that the application avoids the use of eval() or other dynamic code execution features such as Spring Expression Language (SpEL). Where there is no alternative, any user input being included must be sanitized before being executed.</t>
  </si>
  <si>
    <t xml:space="preserve">SAST deve detetar SpEL inseguro em anotações </t>
  </si>
  <si>
    <t>SDR23 / TC24</t>
  </si>
  <si>
    <t>V1.3.3</t>
  </si>
  <si>
    <t>Verify that data being passed to a potentially dangerous context is sanitized beforehand to enforce safety measures, such as only allowing characters which are safe for this context and trimming input which is too long.</t>
  </si>
  <si>
    <t xml:space="preserve">Input validado por DTOs estritos </t>
  </si>
  <si>
    <t xml:space="preserve">SDR06, SDR07 </t>
  </si>
  <si>
    <t>V1.3.4</t>
  </si>
  <si>
    <t>Verify that user-supplied Scalable Vector Graphics (SVG) scriptable content is validated or sanitized to contain only tags and attributes (such as draw graphics) that are safe for the application, e.g., do not contain scripts and foreignObject.</t>
  </si>
  <si>
    <t xml:space="preserve">Sem SVG </t>
  </si>
  <si>
    <t>V1.3.5</t>
  </si>
  <si>
    <t>Verify that the application sanitizes or disables user-supplied scriptable or expression template language content, such as Markdown, CSS or XSL stylesheets, BBCode, or similar.</t>
  </si>
  <si>
    <t xml:space="preserve">Sem template engine exposta ao utilizador </t>
  </si>
  <si>
    <t>V1.3.6</t>
  </si>
  <si>
    <t>Verify that the application protects against Server-side Request Forgery (SSRF) attacks, by validating untrusted data against an allowlist of protocols, domains, paths and ports and sanitizing potentially dangerous characters before using the data to call another service.</t>
  </si>
  <si>
    <t xml:space="preserve">Sem chamadas HTTP outbound a URLs do utilizador </t>
  </si>
  <si>
    <t>V1.3.7</t>
  </si>
  <si>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</si>
  <si>
    <t xml:space="preserve">Sem server-side template rendering exposto </t>
  </si>
  <si>
    <t>V1.3.8</t>
  </si>
  <si>
    <t>Verify that the application appropriately sanitizes untrusted input before use in Java Naming and Directory Interface (JNDI) queries and that JNDI is configured securely to prevent JNDI injection attacks.</t>
  </si>
  <si>
    <t xml:space="preserve">SCA/SAST cobre Log4Shell e afins </t>
  </si>
  <si>
    <t xml:space="preserve">SDR23 / TC23 </t>
  </si>
  <si>
    <t>V1.3.9</t>
  </si>
  <si>
    <t>Verify that the application sanitizes content before it is sent to memcache to prevent injection attacks.</t>
  </si>
  <si>
    <t xml:space="preserve">Sem memcache </t>
  </si>
  <si>
    <t>V1.3.10</t>
  </si>
  <si>
    <t>Verify that format strings which might resolve in an unexpected or malicious way when used are sanitized before being processed.</t>
  </si>
  <si>
    <t xml:space="preserve">Structured logging sem concatenação de strings </t>
  </si>
  <si>
    <t>V1.3.11</t>
  </si>
  <si>
    <t>Verify that the application sanitizes user input before passing to mail systems to protect against SMTP or IMAP injection.</t>
  </si>
  <si>
    <t xml:space="preserve">Sem funcionalidade de email </t>
  </si>
  <si>
    <t>V1.3.12</t>
  </si>
  <si>
    <t>Verify that regular expressions are free from elements causing exponential backtracking, and ensure untrusted input is sanitized to mitigate ReDoS or Runaway Regex attacks.</t>
  </si>
  <si>
    <t>V1.4</t>
  </si>
  <si>
    <t>Memory, String, and Unmanaged Code</t>
  </si>
  <si>
    <t>V1.4.1</t>
  </si>
  <si>
    <t>Verify that the application uses memory-safe string, safer memory copy and pointer arithmetic to detect or prevent stack, buffer, or heap overflows.</t>
  </si>
  <si>
    <t xml:space="preserve">Java é memory-safe por design </t>
  </si>
  <si>
    <t>V1.4.2</t>
  </si>
  <si>
    <t>Verify that sign, range, and input validation techniques are used to prevent integer overflows.</t>
  </si>
  <si>
    <t xml:space="preserve">Validar quantidades e preços de orders </t>
  </si>
  <si>
    <t xml:space="preserve">SDR06 / TC24 </t>
  </si>
  <si>
    <t>V1.4.3</t>
  </si>
  <si>
    <t>Verify that dynamically allocated memory and resources are released, and that references or pointers to freed memory are removed or set to null to prevent dangling pointers and use-after-free vulnerabilities.</t>
  </si>
  <si>
    <t xml:space="preserve">Java GC gere memória automaticamente </t>
  </si>
  <si>
    <t>V1.5</t>
  </si>
  <si>
    <t>Safe Deserialization</t>
  </si>
  <si>
    <t>V1.5.1</t>
  </si>
  <si>
    <t>Verify that the application configures XML parsers to use a restrictive configuration and that unsafe features such as resolving external entities are disabled to prevent XML eXternal Entity (XXE) attacks.</t>
  </si>
  <si>
    <t xml:space="preserve">Sem XML — API usa JSON exclusivamente </t>
  </si>
  <si>
    <t>V1.5.2</t>
  </si>
  <si>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</si>
  <si>
    <t xml:space="preserve">Jackson com DTOs estritos; sem polimorfismo inseguro </t>
  </si>
  <si>
    <t xml:space="preserve">SDR07 / TC06 </t>
  </si>
  <si>
    <t>V1.5.3</t>
  </si>
  <si>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</si>
  <si>
    <t xml:space="preserve">ObjectMapper único em toda a aplicação </t>
  </si>
  <si>
    <t>V2.1</t>
  </si>
  <si>
    <t>Validation and Business Logic Documentation</t>
  </si>
  <si>
    <t>V2.1.1</t>
  </si>
  <si>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</si>
  <si>
    <t>V2.1.2</t>
  </si>
  <si>
    <t>Verify that the application's documentation defines how to validate the logical and contextual consistency of combined data items, such as checking that suburb and ZIP code match.</t>
  </si>
  <si>
    <t>SDR06</t>
  </si>
  <si>
    <t>V2.1.3</t>
  </si>
  <si>
    <t>Verify that expectations for business logic limits and validations are documented, including both per-user and globally across the application.</t>
  </si>
  <si>
    <t xml:space="preserve">SDR04 / FR17b </t>
  </si>
  <si>
    <t>V2.2</t>
  </si>
  <si>
    <t>Input Validation</t>
  </si>
  <si>
    <t>V2.2.1</t>
  </si>
  <si>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</si>
  <si>
    <t>V2.2.2</t>
  </si>
  <si>
    <t>Verify that the application is designed to enforce input validation at a trusted service layer. While client-side validation improves usability and should be encouraged, it must not be relied upon as a security control.</t>
  </si>
  <si>
    <t xml:space="preserve">SDR06, SDR02 / TC24 </t>
  </si>
  <si>
    <t>V2.2.3</t>
  </si>
  <si>
    <t>Verify that the application ensures that combinations of related data items are reasonable according to the pre-defined rules.</t>
  </si>
  <si>
    <t xml:space="preserve">SDR06 / TC11 </t>
  </si>
  <si>
    <t>V2.3</t>
  </si>
  <si>
    <t>Business Logic Security</t>
  </si>
  <si>
    <t>V2.3.1</t>
  </si>
  <si>
    <t>Verify that the application will only process business logic flows for the same user in the expected sequential step order and without skipping steps.</t>
  </si>
  <si>
    <t xml:space="preserve">Order lifecycle: PENDING → PREPARING → READY → DELIVERED (sem saltos) </t>
  </si>
  <si>
    <t>SDR02 / TC14 /TC38</t>
  </si>
  <si>
    <t>V2.3.2</t>
  </si>
  <si>
    <t>Verify that business logic limits are implemented per the application's documentation to avoid business logic flaws being exploited.</t>
  </si>
  <si>
    <t xml:space="preserve">SDR04 / TC01, TC13 </t>
  </si>
  <si>
    <t>V2.3.3</t>
  </si>
  <si>
    <t>Verify that transactions are being used at the business logic level such that either a business logic operation succeeds in its entirety or it is rolled back to the previous correct state.</t>
  </si>
  <si>
    <t>NFR09/TC39</t>
  </si>
  <si>
    <t>V2.3.4</t>
  </si>
  <si>
    <t>Verify that business logic level locking mechanisms are used to ensure that limited quantity resources (such as theater seats or delivery slots) cannot be double-booked by manipulating the application's logic.</t>
  </si>
  <si>
    <t xml:space="preserve">Pratos em stock limitado; concorrência em orders do mesmo menu </t>
  </si>
  <si>
    <t>V2.3.5</t>
  </si>
  <si>
    <t>Verify that high-value business logic flows require multi-user approval to prevent unauthorized or accidental actions. This could include but is not limited to large monetary transfers, contract approvals, access to classified information, or safety overrides in manufacturing.</t>
  </si>
  <si>
    <t xml:space="preserve">Sistema não prevê aprovação dupla; report generation é single-admin </t>
  </si>
  <si>
    <t>V2.4</t>
  </si>
  <si>
    <t>Anti-automation</t>
  </si>
  <si>
    <t>V2.4.1</t>
  </si>
  <si>
    <t>Verify that anti-automation controls are in place to protect against excessive calls to application functions that could lead to data exfiltration, garbage-data creation, quota exhaustion, rate-limit breaches, denial-of-service, or overuse of costly resources.</t>
  </si>
  <si>
    <t xml:space="preserve">SDR04 / TC01, TC04, TC08, TC13 </t>
  </si>
  <si>
    <t>V2.4.2</t>
  </si>
  <si>
    <t>Verify that business logic flows require realistic human timing, preventing excessively rapid transaction submissions.</t>
  </si>
  <si>
    <t xml:space="preserve">Throttling temporal em order creation para prevenir submissões em rajada </t>
  </si>
  <si>
    <t xml:space="preserve">SDR04 / TC13 </t>
  </si>
  <si>
    <t>V3.1</t>
  </si>
  <si>
    <t>Web Frontend Security Documentation</t>
  </si>
  <si>
    <t>V3.1.1</t>
  </si>
  <si>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</si>
  <si>
    <t>Backend REST API — no browser context</t>
  </si>
  <si>
    <t>V3.2</t>
  </si>
  <si>
    <t>Unintended Content Interpretation</t>
  </si>
  <si>
    <t>V3.2.1</t>
  </si>
  <si>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</si>
  <si>
    <t>API returns JSON only, no HTML rendering</t>
  </si>
  <si>
    <t>V3.2.2</t>
  </si>
  <si>
    <t>Verify that content intended to be displayed as text, rather than rendered as HTML, is handled using safe rendering functions (such as createTextNode or textContent) to prevent unintended execution of content such as HTML or JavaScript.</t>
  </si>
  <si>
    <t>No HTML output</t>
  </si>
  <si>
    <t>V3.2.3</t>
  </si>
  <si>
    <t>Verify that the application avoids DOM clobbering when using client-side JavaScript by employing explicit variable declarations, performing strict type checking, avoiding storing global variables on the document object, and implementing namespace isolation.</t>
  </si>
  <si>
    <t>No client-side JavaScript</t>
  </si>
  <si>
    <t>V3.3</t>
  </si>
  <si>
    <t>Cookie Setup</t>
  </si>
  <si>
    <t>V3.3.1</t>
  </si>
  <si>
    <t>Verify that cookies have the 'Secure' attribute set, and if the '\__Host-' prefix is not used for the cookie name, the '__Secure-' prefix must be used for the cookie name.</t>
  </si>
  <si>
    <t>JWT in Authorization header, no cookies used</t>
  </si>
  <si>
    <t>V3.3.2</t>
  </si>
  <si>
    <t>Verify that each cookie's 'SameSite' attribute value is set according to the purpose of the cookie, to limit exposure to user interface redress attacks and browser-based request forgery attacks, commonly known as cross-site request forgery (CSRF).</t>
  </si>
  <si>
    <t>No cookies used</t>
  </si>
  <si>
    <t>V3.3.3</t>
  </si>
  <si>
    <t>Verify that cookies have the '__Host-' prefix for the cookie name unless they are explicitly designed to be shared with other hosts.</t>
  </si>
  <si>
    <t>V3.3.4</t>
  </si>
  <si>
    <t>Verify that if the value of a cookie is not meant to be accessible to client-side scripts (such as a session token), the cookie must have the 'HttpOnly' attribute set and the same value (e. g. session token) must only be transferred to the client via the 'Set-Cookie' header field.</t>
  </si>
  <si>
    <t>V3.3.5</t>
  </si>
  <si>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</si>
  <si>
    <t>V3.4</t>
  </si>
  <si>
    <t>Browser Security Mechanism Headers</t>
  </si>
  <si>
    <t>V3.4.1</t>
  </si>
  <si>
    <t>Verify that a Strict-Transport-Security header field is included on all responses to enforce an HTTP Strict Transport Security (HSTS) policy. A maximum age of at least 1 year must be defined, and for L2 and up, the policy must apply to all subdomains as well.</t>
  </si>
  <si>
    <t>V3.4.2</t>
  </si>
  <si>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</si>
  <si>
    <t>V3.4.3</t>
  </si>
  <si>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</si>
  <si>
    <t>No HTML responses</t>
  </si>
  <si>
    <t>V3.4.4</t>
  </si>
  <si>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</si>
  <si>
    <t>V3.4.5</t>
  </si>
  <si>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</si>
  <si>
    <t>No browser navigation</t>
  </si>
  <si>
    <t>V3.4.6</t>
  </si>
  <si>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</si>
  <si>
    <t>V3.4.7</t>
  </si>
  <si>
    <t>Verify that the Content-Security-Policy header field specifies a location to report violations.</t>
  </si>
  <si>
    <t>V3.4.8</t>
  </si>
  <si>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</si>
  <si>
    <t>V3.5</t>
  </si>
  <si>
    <t>Browser Origin Separation</t>
  </si>
  <si>
    <t>V3.5.1</t>
  </si>
  <si>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</si>
  <si>
    <t>V3.5.2</t>
  </si>
  <si>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</si>
  <si>
    <t>V3.5.3</t>
  </si>
  <si>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</si>
  <si>
    <t>V3.5.4</t>
  </si>
  <si>
    <t>Verify that separate applications are hosted on different hostnames to leverage the restrictions provided by same-origin policy, including how documents or scripts loaded by one origin can interact with resources from another origin and hostname-based restrictions on cookies.</t>
  </si>
  <si>
    <t>Single backend service</t>
  </si>
  <si>
    <t>V3.5.5</t>
  </si>
  <si>
    <t>Verify that messages received by the postMessage interface are discarded if the origin of the message is not trusted, or if the syntax of the message is invalid.</t>
  </si>
  <si>
    <t>No postMessage used</t>
  </si>
  <si>
    <t>V3.5.6</t>
  </si>
  <si>
    <t>Verify that JSONP functionality is not enabled anywhere across the application to avoid Cross-Site Script Inclusion (XSSI) attacks.</t>
  </si>
  <si>
    <t>No JSONP — REST/JSON API only</t>
  </si>
  <si>
    <t>V3.5.7</t>
  </si>
  <si>
    <t>Verify that data requiring authorization is not included in script resource responses, like JavaScript files, to prevent Cross-Site Script Inclusion (XSSI) attacks.</t>
  </si>
  <si>
    <t>No script resources served</t>
  </si>
  <si>
    <t>V3.5.8</t>
  </si>
  <si>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</si>
  <si>
    <t>No browser-rendered pages</t>
  </si>
  <si>
    <t>V3.6</t>
  </si>
  <si>
    <t>External Resource Integrity</t>
  </si>
  <si>
    <t>V3.6.1</t>
  </si>
  <si>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</si>
  <si>
    <t>No client-side assets</t>
  </si>
  <si>
    <t>V3.7</t>
  </si>
  <si>
    <t>Other Browser Security Considerations</t>
  </si>
  <si>
    <t>V3.7.1</t>
  </si>
  <si>
    <t>Verify that the application only uses client-side technologies which are still supported and considered secure. Examples of technologies which do not meet this requirement include NSAPI plugins, Flash, Shockwave, ActiveX, Silverlight, NACL, or client-side Java applets.</t>
  </si>
  <si>
    <t>No client-side technologies</t>
  </si>
  <si>
    <t>V3.7.2</t>
  </si>
  <si>
    <t>Verify that the application will only automatically redirect the user to a different hostname or domain (which is not controlled by the application) where the destination appears on an allowlist.</t>
  </si>
  <si>
    <t>No redirects to external URLs</t>
  </si>
  <si>
    <t>V3.7.3</t>
  </si>
  <si>
    <t>Verify that the application shows a notification when the user is being redirected to a URL outside of the application's control, with an option to cancel the navigation.</t>
  </si>
  <si>
    <t>No external redirects</t>
  </si>
  <si>
    <t>V3.7.4</t>
  </si>
  <si>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</si>
  <si>
    <t>Infrastructure concern, out of scope</t>
  </si>
  <si>
    <t>V3.7.5</t>
  </si>
  <si>
    <t>Verify that the application behaves as documented (such as warning the user or blocking access) if the browser used to access the application does not support the expected security features.</t>
  </si>
  <si>
    <t>No browser-facing interface</t>
  </si>
  <si>
    <t>V4.1</t>
  </si>
  <si>
    <t>Generic Web Service Security</t>
  </si>
  <si>
    <t>V4.1.1</t>
  </si>
  <si>
    <t>Verify that every HTTP response with a message body contains a Content-Type header field that matches the actual content of the response, including the charset parameter to specify safe character encoding (e.g., UTF-8, ISO-8859-1) according to IANA Media Types, such as "text/", "/+xml" and "/xml".</t>
  </si>
  <si>
    <t>V4.1.2</t>
  </si>
  <si>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</si>
  <si>
    <t>Pure REST API — no user-facing browser endpoints</t>
  </si>
  <si>
    <t>V4.1.3</t>
  </si>
  <si>
    <t>Verify that any HTTP header field used by the application and set by an intermediary layer, such as a load balancer, a web proxy, or a backend-for-frontend service, cannot be overridden by the end-user. Example headers might include X-Real-IP, X-Forwarded-*, or X-User-ID.</t>
  </si>
  <si>
    <t>V4.1.4</t>
  </si>
  <si>
    <t>Verify that only HTTP methods that are explicitly supported by the application or its API (including OPTIONS during preflight requests) can be used and that unused methods are blocked.</t>
  </si>
  <si>
    <t>V4.1.5</t>
  </si>
  <si>
    <t>Verify that per-message digital signatures are used to provide additional assurance on top of transport protections for requests or transactions which are highly sensitive or which traverse a number of systems.</t>
  </si>
  <si>
    <t>JWT already provides request-level authentication; per-message signing not required</t>
  </si>
  <si>
    <t>V4.2</t>
  </si>
  <si>
    <t>HTTP Message Structure Validation</t>
  </si>
  <si>
    <t>V4.2.1</t>
  </si>
  <si>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</si>
  <si>
    <t>V4.2.2</t>
  </si>
  <si>
    <t>Verify that when generating HTTP messages, the Content-Length header field does not conflict with the length of the content as determined by the framing of the HTTP protocol, in order to prevent request smuggling attacks.</t>
  </si>
  <si>
    <t>V4.2.3</t>
  </si>
  <si>
    <t>Verify that the application does not send nor accept HTTP/2 or HTTP/3 messages with connection-specific header fields such as Transfer-Encoding to prevent response splitting and header injection attacks.</t>
  </si>
  <si>
    <t>V4.2.4</t>
  </si>
  <si>
    <t>Verify that the application only accepts HTTP/2 and HTTP/3 requests where the header fields and values do not contain any CR (\r), LF (\n), or CRLF (\r\n) sequences, to prevent header injection attacks.</t>
  </si>
  <si>
    <t>V4.2.5</t>
  </si>
  <si>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</si>
  <si>
    <t>V4.3</t>
  </si>
  <si>
    <t>GraphQL</t>
  </si>
  <si>
    <t>V4.3.1</t>
  </si>
  <si>
    <t>Verify that a query allowlist, depth limiting, amount limiting, or query cost analysis is used to prevent GraphQL or data layer expression Denial of Service (DoS) as a result of expensive, nested queries.</t>
  </si>
  <si>
    <t>Coffeetaria uses REST, not GraphQL</t>
  </si>
  <si>
    <t>V4.3.2</t>
  </si>
  <si>
    <t>Verify that GraphQL introspection queries are disabled in the production environment unless the GraphQL API is meant to be used by other parties.</t>
  </si>
  <si>
    <t>No GraphQL used</t>
  </si>
  <si>
    <t>V4.4</t>
  </si>
  <si>
    <t>WebSocket</t>
  </si>
  <si>
    <t>V4.4.1</t>
  </si>
  <si>
    <t>Verify that WebSocket over TLS (WSS) is used for all WebSocket connections.</t>
  </si>
  <si>
    <t>No WebSockets used — REST API only</t>
  </si>
  <si>
    <t>V4.4.2</t>
  </si>
  <si>
    <t>Verify that, during the initial HTTP WebSocket handshake, the Origin header field is checked against a list of origins allowed for the application.</t>
  </si>
  <si>
    <t>No WebSockets used</t>
  </si>
  <si>
    <t>V4.4.3</t>
  </si>
  <si>
    <t>Verify that, if the application's standard session management cannot be used, dedicated tokens are being used for this, which comply with the relevant Session Management security requirements.</t>
  </si>
  <si>
    <t>V4.4.4</t>
  </si>
  <si>
    <t>Verify that dedicated WebSocket session management tokens are initially obtained or validated through the previously authenticated HTTPS session when transitioning an existing HTTPS session to a WebSocket channel.</t>
  </si>
  <si>
    <t>V5.1</t>
  </si>
  <si>
    <t>File Handling Documentation</t>
  </si>
  <si>
    <t>V5.1.1</t>
  </si>
  <si>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</si>
  <si>
    <t>Compliant</t>
  </si>
  <si>
    <t>@Pattern on FileWriteRequestDTO.path: ^([a-zA-Z0-9_\-]+/)*[a-zA-Z0-9_\-]+\.[a-zA-Z0-9]{1,10}$</t>
  </si>
  <si>
    <t>V5.2</t>
  </si>
  <si>
    <t>File Upload and Content</t>
  </si>
  <si>
    <t>V5.2.1</t>
  </si>
  <si>
    <t>Verify that the application will only accept files of a size which it can process without causing a loss of performance or a denial of service attack.</t>
  </si>
  <si>
    <t>No user file upload — app generates files internally</t>
  </si>
  <si>
    <t>V5.2.2</t>
  </si>
  <si>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</si>
  <si>
    <t>No user file upload</t>
  </si>
  <si>
    <t>V5.2.3</t>
  </si>
  <si>
    <t>Verify that the application checks compressed files (e.g., zip, gz, docx, odt) against maximum allowed uncompressed size and against maximum number of files before uncompressing the file.</t>
  </si>
  <si>
    <t>No compressed file handling</t>
  </si>
  <si>
    <t>V5.2.4</t>
  </si>
  <si>
    <t>Verify that a file size quota and maximum number of files per user are enforced to ensure that a single user cannot fill up the storage with too many files, or excessively large files.</t>
  </si>
  <si>
    <t>V5.2.5</t>
  </si>
  <si>
    <t>Verify that the application does not allow uploading compressed files containing symlinks unless this is specifically required (in which case it will be necessary to enforce an allowlist of the files that can be symlinked to).</t>
  </si>
  <si>
    <t>V5.2.6</t>
  </si>
  <si>
    <t>Verify that the application rejects uploaded images with a pixel size larger than the maximum allowed, to prevent pixel flood attacks.</t>
  </si>
  <si>
    <t>No image upload</t>
  </si>
  <si>
    <t>V5.3</t>
  </si>
  <si>
    <t>File Storage</t>
  </si>
  <si>
    <t>V5.3.1</t>
  </si>
  <si>
    <t>Verify that files uploaded or generated by untrusted input and stored in a public folder, are not executed as server-side program code when accessed directly with an HTTP request.</t>
  </si>
  <si>
    <t>SDR14</t>
  </si>
  <si>
    <t>V5.3.2</t>
  </si>
  <si>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</si>
  <si>
    <t>FileSystemService.resolveSafe() confines to basePath + @Pattern on path DTO prevents .. traversal</t>
  </si>
  <si>
    <t>SDR13, TC15</t>
  </si>
  <si>
    <t>V5.3.3</t>
  </si>
  <si>
    <t>Verify that server-side file processing, such as file decompression, ignores user-provided path information to prevent vulnerabilities such as zip slip.</t>
  </si>
  <si>
    <t>No file decompression in Coffeetaria</t>
  </si>
  <si>
    <t>V5.4</t>
  </si>
  <si>
    <t>File Download</t>
  </si>
  <si>
    <t>V5.4.1</t>
  </si>
  <si>
    <t>Verify that the application validates or ignores user-submitted filenames, including in a JSON, JSONP, or URL parameter and specifies a filename in the Content-Disposition header field in the response.</t>
  </si>
  <si>
    <t>@Pattern allowlist on FileWriteRequestDTO and DirectoryCreateRequestDTO paths</t>
  </si>
  <si>
    <t>V5.4.2</t>
  </si>
  <si>
    <t>Verify that file names served (e.g., in HTTP response header fields or email attachments) are encoded or sanitized (e.g., following RFC 6266) to preserve document structure and prevent injection attacks.</t>
  </si>
  <si>
    <t>V5.4.3</t>
  </si>
  <si>
    <t>Verify that files obtained from untrusted sources are scanned by antivirus scanners to prevent serving of known malicious content.</t>
  </si>
  <si>
    <t>Reports are system-generated, not from untrusted external sources</t>
  </si>
  <si>
    <t>V6.1</t>
  </si>
  <si>
    <t>Authentication Documentation</t>
  </si>
  <si>
    <t>V6.1.1</t>
  </si>
  <si>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</si>
  <si>
    <t>SDR04</t>
  </si>
  <si>
    <t>V6.1.2</t>
  </si>
  <si>
    <t>Verify that a list of context-specific words is documented in order to prevent their use in passwords. The list could include permutations of organization names, product names, system identifiers, project codenames, department or role names, and similar.</t>
  </si>
  <si>
    <t>e.g., "coffeetaria", "admin123" should be blocked</t>
  </si>
  <si>
    <t>SDR05</t>
  </si>
  <si>
    <t>V6.1.3</t>
  </si>
  <si>
    <t>Verify that, if the application includes multiple authentication pathways, these are all documented together with the security controls and authentication strength which must be consistently enforced across them.</t>
  </si>
  <si>
    <t>Single authentication pathway (username/password + JWT)</t>
  </si>
  <si>
    <t>V6.2</t>
  </si>
  <si>
    <t>Password Security</t>
  </si>
  <si>
    <t>V6.2.1</t>
  </si>
  <si>
    <t>Verify that user set passwords are at least 8 characters in length although a minimum of 15 characters is strongly recommended.</t>
  </si>
  <si>
    <t>PasswordPolicyService min=12 + @Size(min=12) in UserDTO and LoginRequestDTO</t>
  </si>
  <si>
    <t>SDR05, TC01</t>
  </si>
  <si>
    <t>V6.2.2</t>
  </si>
  <si>
    <t>Verify that users can change their password.</t>
  </si>
  <si>
    <t>FR08</t>
  </si>
  <si>
    <t>V6.2.3</t>
  </si>
  <si>
    <t>Verify that password change functionality requires the user's current and new password.</t>
  </si>
  <si>
    <t>Must verify current password before allowing change</t>
  </si>
  <si>
    <t>V6.2.4</t>
  </si>
  <si>
    <t>Verify that passwords submitted during account registration or password change are checked against an available set of, at least, the top 3000 passwords which match the application's password policy, e.g. minimum length.</t>
  </si>
  <si>
    <t>HaveIBeenPwnedClient (k-anonymity SHA-1) called on createUser and updateUser</t>
  </si>
  <si>
    <t>SDR05b</t>
  </si>
  <si>
    <t>V6.2.5</t>
  </si>
  <si>
    <t>Verify that passwords of any composition can be used, without rules limiting the type of characters permitted. There must be no requirement for a minimum number of upper or lower case characters, numbers, or special characters.</t>
  </si>
  <si>
    <t>V6.2.6</t>
  </si>
  <si>
    <t>Verify that password input fields use type=password to mask the entry. Applications may allow the user to temporarily view the entire masked password, or the last typed character of the password.</t>
  </si>
  <si>
    <t>REST API — no HTML forms rendered</t>
  </si>
  <si>
    <t>V6.2.7</t>
  </si>
  <si>
    <t>Verify that "paste" functionality, browser password helpers, and external password managers are permitted.</t>
  </si>
  <si>
    <t>REST API — no HTML forms</t>
  </si>
  <si>
    <t>V6.2.8</t>
  </si>
  <si>
    <t>Verify that the application verifies the user's password exactly as received from the user, without any modifications such as truncation or case transformation.</t>
  </si>
  <si>
    <t>BCryptPasswordEncoder.matches() used in AuthController login flow</t>
  </si>
  <si>
    <t>NFR02, SDR05</t>
  </si>
  <si>
    <t>V6.2.9</t>
  </si>
  <si>
    <t>Verify that passwords of at least 64 characters are permitted.</t>
  </si>
  <si>
    <t>@Size(max=128) in UserDTO and LoginRequestDTO; PasswordPolicyService max=128</t>
  </si>
  <si>
    <t>V6.2.10</t>
  </si>
  <si>
    <t>Verify that a user's password stays valid until it is discovered to be compromised or the user rotates it. The application must not require periodic credential rotation.</t>
  </si>
  <si>
    <t>V6.2.11</t>
  </si>
  <si>
    <t>Verify that the documented list of context specific words is used to prevent easy to guess passwords being created.</t>
  </si>
  <si>
    <t>Block "coffeetaria", "admin", username as password</t>
  </si>
  <si>
    <t>V6.2.12</t>
  </si>
  <si>
    <t>Verify that passwords submitted during account registration or password changes are checked against a set of breached passwords.</t>
  </si>
  <si>
    <t>V6.3</t>
  </si>
  <si>
    <t>General Authentication Security</t>
  </si>
  <si>
    <t>V6.3.1</t>
  </si>
  <si>
    <t>Verify that controls to prevent attacks such as credential stuffing and password brute force are implemented according to the application's security documentation.</t>
  </si>
  <si>
    <t>SimpleRateLimiter: 5 attempts/15 min per username and per IP</t>
  </si>
  <si>
    <t>SDR04, TC01</t>
  </si>
  <si>
    <t>V6.3.2</t>
  </si>
  <si>
    <t>Verify that default user accounts (e.g., "root", "admin", or "sa") are not present in the application or are disabled.</t>
  </si>
  <si>
    <t>Default user INSERT statements removed from data.sql; data.sql now comment-only for users</t>
  </si>
  <si>
    <t>FR05a</t>
  </si>
  <si>
    <t>V6.3.3</t>
  </si>
  <si>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</si>
  <si>
    <t>Coffeetaria uses single-factor (username/password) only</t>
  </si>
  <si>
    <t>V6.3.4</t>
  </si>
  <si>
    <t>Verify that, if the application includes multiple authentication pathways, there are no undocumented pathways and that security controls and authentication strength are enforced consistently.</t>
  </si>
  <si>
    <t>V6.3.5</t>
  </si>
  <si>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</si>
  <si>
    <t>Could be logged (SDR19) but no user notification defined</t>
  </si>
  <si>
    <t>SDR19</t>
  </si>
  <si>
    <t>V6.3.6</t>
  </si>
  <si>
    <t>Verify that email is not used as either a single-factor or multi-factor authentication mechanism.</t>
  </si>
  <si>
    <t>Uses username/password, not email-based auth</t>
  </si>
  <si>
    <t>V6.3.7</t>
  </si>
  <si>
    <t>Verify that users are notified after updates to authentication details, such as credential resets or modification of the username or email address.</t>
  </si>
  <si>
    <t>Audit log exists (SDR20) but user notification not defined</t>
  </si>
  <si>
    <t>SDR20</t>
  </si>
  <si>
    <t>V6.3.8</t>
  </si>
  <si>
    <t>Verify that valid users cannot be deduced from failed authentication challenges, such as by basing on error messages, HTTP response codes, or different response times. Registration and forgot password functionality must also have this protection.</t>
  </si>
  <si>
    <t>AuthController always returns generic "Invalid credentials"; username enumeration prevented</t>
  </si>
  <si>
    <t>TC03</t>
  </si>
  <si>
    <t>V6.4</t>
  </si>
  <si>
    <t>Authentication Factor Lifecycle and Recovery</t>
  </si>
  <si>
    <t>V6.4.1</t>
  </si>
  <si>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</si>
  <si>
    <t>FR09</t>
  </si>
  <si>
    <t>V6.4.2</t>
  </si>
  <si>
    <t>Verify that password hints or knowledge-based authentication (so-called "secret questions") are not present.</t>
  </si>
  <si>
    <t>No password hints or secret questions in Coffeetaria</t>
  </si>
  <si>
    <t>V6.4.3</t>
  </si>
  <si>
    <t>Verify that a secure process for resetting a forgotten password is implemented, that does not bypass any enabled multi-factor authentication mechanisms.</t>
  </si>
  <si>
    <t>Password reset flow not defined in requirements</t>
  </si>
  <si>
    <t>FR05b</t>
  </si>
  <si>
    <t>V6.4.4</t>
  </si>
  <si>
    <t>Verify that if a multi-factor authentication factor is lost, evidence of identity proofing is performed at the same level as during enrollment.</t>
  </si>
  <si>
    <t>No MFA used</t>
  </si>
  <si>
    <t>V6.4.5</t>
  </si>
  <si>
    <t>Verify that renewal instructions for authentication mechanisms which expire are sent with enough time to be carried out before the old authentication mechanism expires, configuring automated reminders if necessary.</t>
  </si>
  <si>
    <t>No expiring authentication mechanisms beyond JWT (handled by SDR03)</t>
  </si>
  <si>
    <t>V6.4.6</t>
  </si>
  <si>
    <t>Verify that administrative users can initiate the password reset process for the user, but that this does not allow them to change or choose the user's password. This prevents a situation where they know the user's password.</t>
  </si>
  <si>
    <t>FR05 — admin can deactivate; password reset flow needs clarification</t>
  </si>
  <si>
    <t>FR05</t>
  </si>
  <si>
    <t>V6.5</t>
  </si>
  <si>
    <t>General Multi-factor authentication requirements</t>
  </si>
  <si>
    <t>V6.5.1</t>
  </si>
  <si>
    <t>Verify that lookup secrets, out-of-band authentication requests or codes, and time-based one-time passwords (TOTPs) are only successfully usable once.</t>
  </si>
  <si>
    <t>No MFA/OTP used</t>
  </si>
  <si>
    <t>V6.5.2</t>
  </si>
  <si>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</si>
  <si>
    <t>V6.5.3</t>
  </si>
  <si>
    <t>Verify that lookup secrets, out-of-band authentication code, and time-based one-time password seeds, are generated using a Cryptographically Secure Pseudorandom Number Generator (CSPRNG) to avoid predictable values.</t>
  </si>
  <si>
    <t>V6.5.4</t>
  </si>
  <si>
    <t>Verify that lookup secrets and out-of-band authentication codes have a minimum of 20 bits of entropy (typically 4 random alphanumeric characters or 6 random digits is sufficient).</t>
  </si>
  <si>
    <t>V6.5.5</t>
  </si>
  <si>
    <t>Verify that out-of-band authentication requests, codes, or tokens, as well as time-based one-time passwords (TOTPs) have a defined lifetime. Out of band requests must have a maximum lifetime of 10 minutes and for TOTP a maximum lifetime of 30 seconds.</t>
  </si>
  <si>
    <t>V6.5.6</t>
  </si>
  <si>
    <t>Verify that any authentication factor (including physical devices) can be revoked in case of theft or other loss.</t>
  </si>
  <si>
    <t>V6.5.7</t>
  </si>
  <si>
    <t>Verify that biometric authentication mechanisms are only used as secondary factors together with either something you have or something you know.</t>
  </si>
  <si>
    <t>No biometric auth</t>
  </si>
  <si>
    <t>V6.5.8</t>
  </si>
  <si>
    <t>Verify that time-based one-time passwords (TOTPs) are checked based on a time source from a trusted service and not from an untrusted or client provided time.</t>
  </si>
  <si>
    <t>No TOTP used</t>
  </si>
  <si>
    <t>V6.6</t>
  </si>
  <si>
    <t>Out-of-Band authentication mechanisms</t>
  </si>
  <si>
    <t>V6.6.1</t>
  </si>
  <si>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</si>
  <si>
    <t>No out-of-band authentication</t>
  </si>
  <si>
    <t>V6.6.2</t>
  </si>
  <si>
    <t>Verify that out-of-band authentication requests, codes, or tokens are bound to the original authentication request for which they were generated and are not usable for a previous or subsequent one.</t>
  </si>
  <si>
    <t>V6.6.3</t>
  </si>
  <si>
    <t>Verify that a code based out-of-band authentication mechanism is protected against brute force attacks by using rate limiting. Consider also using a code with at least 64 bits of entropy.</t>
  </si>
  <si>
    <t>V6.6.4</t>
  </si>
  <si>
    <t>Verify that, where push notifications are used for multi-factor authentication, rate limiting is used to prevent push bombing attacks. Number matching may also mitigate this risk.</t>
  </si>
  <si>
    <t>No push notifications used</t>
  </si>
  <si>
    <t>V6.7</t>
  </si>
  <si>
    <t>Cryptographic authentication mechanism</t>
  </si>
  <si>
    <t>V6.7.1</t>
  </si>
  <si>
    <t>Verify that the certificates used to verify cryptographic authentication assertions are stored in a way protects them from modification.</t>
  </si>
  <si>
    <t>No client certificate authentication</t>
  </si>
  <si>
    <t>V6.7.2</t>
  </si>
  <si>
    <t>Verify that the challenge nonce is at least 64 bits in length, and statistically unique or unique over the lifetime of the cryptographic device.</t>
  </si>
  <si>
    <t>No challenge-response authentication</t>
  </si>
  <si>
    <t>V6.8</t>
  </si>
  <si>
    <t>Authentication with an Identity Provider</t>
  </si>
  <si>
    <t>V6.8.1</t>
  </si>
  <si>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</si>
  <si>
    <t>No external Identity Provider used</t>
  </si>
  <si>
    <t>V6.8.2</t>
  </si>
  <si>
    <t>Verify that the presence and integrity of digital signatures on authentication assertions (for example on JWTs or SAML assertions) are always validated, rejecting any assertions that are unsigned or have invalid signatures.</t>
  </si>
  <si>
    <t>No SAML/IdP used</t>
  </si>
  <si>
    <t>V6.8.3</t>
  </si>
  <si>
    <t>Verify that SAML assertions are uniquely processed and used only once within the validity period to prevent replay attacks.</t>
  </si>
  <si>
    <t>No SAML used</t>
  </si>
  <si>
    <t>V6.8.4</t>
  </si>
  <si>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</si>
  <si>
    <t>No external IdP used</t>
  </si>
  <si>
    <t>V7.1</t>
  </si>
  <si>
    <t>Session Management Documentation</t>
  </si>
  <si>
    <t>V7.1.1</t>
  </si>
  <si>
    <t>Verify that the user's session inactivity timeout and absolute maximum session lifetime are documented, are appropriate in combination with other controls, and that the documentation includes justification for any deviations from NIST SP 800-63B re-authentication requirements.</t>
  </si>
  <si>
    <t>NFR03, SDR03</t>
  </si>
  <si>
    <t>V7.1.2</t>
  </si>
  <si>
    <t>Verify that the documentation defines how many concurrent (parallel) sessions are allowed for one account as well as the intended behaviors and actions to be taken when the maximum number of active sessions is reached.</t>
  </si>
  <si>
    <t>Should specify if multiple concurrent JWTs are permitted</t>
  </si>
  <si>
    <t>NFR03, SDR03b</t>
  </si>
  <si>
    <t>V7.1.3</t>
  </si>
  <si>
    <t>Verify that all systems that create and manage user sessions as part of a federated identity management ecosystem (such as SSO systems) are documented along with controls to coordinate session lifetimes, termination, and any other conditions that require re-authentication.</t>
  </si>
  <si>
    <t>No federated identity / SSO used</t>
  </si>
  <si>
    <t>V7.2</t>
  </si>
  <si>
    <t>Fundamental Session Management Security</t>
  </si>
  <si>
    <t>V7.2.1</t>
  </si>
  <si>
    <t>Verify that the application performs all session token verification using a trusted, backend service.</t>
  </si>
  <si>
    <t>SDR01, SDR03</t>
  </si>
  <si>
    <t>V7.2.2</t>
  </si>
  <si>
    <t>Verify that the application uses either self-contained or reference tokens that are dynamically generated for session management, i.e. not using static API secrets and keys.</t>
  </si>
  <si>
    <t>V7.2.3</t>
  </si>
  <si>
    <t>Verify that if reference tokens are used to represent user sessions, they are unique and generated using a cryptographically secure pseudo-random number generator (CSPRNG) and possess at least 128 bits of entropy.</t>
  </si>
  <si>
    <t>Coffeetaria uses self-contained JWTs, not reference tokens</t>
  </si>
  <si>
    <t>V7.2.4</t>
  </si>
  <si>
    <t>Verify that the application generates a new session token on user authentication, including re-authentication, and terminates the current session token.</t>
  </si>
  <si>
    <t>V7.3</t>
  </si>
  <si>
    <t>Session Timeout</t>
  </si>
  <si>
    <t>V7.3.1</t>
  </si>
  <si>
    <t>Verify that there is an inactivity timeout such that re-authentication is enforced according to risk analysis and documented security decisions.</t>
  </si>
  <si>
    <t>jwt.expiration=3600 (1h absolute timeout) enforced via JwtTokenUtil.validateToken()</t>
  </si>
  <si>
    <t>NFR03</t>
  </si>
  <si>
    <t>V7.3.2</t>
  </si>
  <si>
    <t>Verify that there is an absolute maximum session lifetime such that re-authentication is enforced according to risk analysis and documented security decisions.</t>
  </si>
  <si>
    <t>JWT expiry value documented in application.properties; checked on every request</t>
  </si>
  <si>
    <t>V7.4</t>
  </si>
  <si>
    <t>Session Termination</t>
  </si>
  <si>
    <t>V7.4.1</t>
  </si>
  <si>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</si>
  <si>
    <t>POST /api/auth/logout blocks token in TokenBlocklist; JwtRequestFilter checks blocklist on every request</t>
  </si>
  <si>
    <t>US03, SDR03, TC26</t>
  </si>
  <si>
    <t>V7.4.2</t>
  </si>
  <si>
    <t>Verify that the application terminates all active sessions when a user account is disabled or deleted (such as an employee leaving the company).</t>
  </si>
  <si>
    <t>US04 — deactivation must invalidate existing tokens</t>
  </si>
  <si>
    <t>US04, SDR03a</t>
  </si>
  <si>
    <t>V7.4.3</t>
  </si>
  <si>
    <t>Verify that the application gives the option to terminate all other active sessions after a successful change or removal of any authentication factor (including password change via reset or recovery and, if present, an MFA settings update).</t>
  </si>
  <si>
    <t>Not currently defined — gap if multiple concurrent sessions are allowed</t>
  </si>
  <si>
    <t>SDR03b</t>
  </si>
  <si>
    <t>V7.4.4</t>
  </si>
  <si>
    <t>Verify that all pages that require authentication have easy and visible access to logout functionality.</t>
  </si>
  <si>
    <t>REST API — no pages; logout endpoint must be documented and accessible</t>
  </si>
  <si>
    <t>V7.4.5</t>
  </si>
  <si>
    <t>Verify that application administrators are able to terminate active sessions for an individual user or for all users.</t>
  </si>
  <si>
    <t>Admin deactivation (US04) covers this partially</t>
  </si>
  <si>
    <t>US04, FR05</t>
  </si>
  <si>
    <t>V7.5</t>
  </si>
  <si>
    <t>Defenses Against Session Abuse</t>
  </si>
  <si>
    <t>V7.5.1</t>
  </si>
  <si>
    <t>Verify that the application requires full re-authentication before allowing modifications to sensitive account attributes which may affect authentication such as email address, phone number, MFA configuration, or other information used in account recovery.</t>
  </si>
  <si>
    <t>Password change should require current password — SDR05</t>
  </si>
  <si>
    <t>V7.5.2</t>
  </si>
  <si>
    <t>Verify that users are able to view and (having authenticated again with at least one factor) terminate any or all currently active sessions.</t>
  </si>
  <si>
    <t>Not currently defined — gap</t>
  </si>
  <si>
    <t>SDR03</t>
  </si>
  <si>
    <t>V7.5.3</t>
  </si>
  <si>
    <t>Verify that the application requires further authentication with at least one factor or secondary verification before performing highly sensitive transactions or operations.</t>
  </si>
  <si>
    <t>Not defined — e.g., role change or account deletion could require step-up auth</t>
  </si>
  <si>
    <t>SDR02</t>
  </si>
  <si>
    <t>V7.6</t>
  </si>
  <si>
    <t>Federated Re-authentication</t>
  </si>
  <si>
    <t>V7.6.1</t>
  </si>
  <si>
    <t>Verify that session lifetime and termination between Relying Parties (RPs) and Identity Providers (IdPs) behave as documented, requiring re-authentication as necessary such as when the maximum time between IdP authentication events is reached.</t>
  </si>
  <si>
    <t>No federated identity / IdP used</t>
  </si>
  <si>
    <t>V7.6.2</t>
  </si>
  <si>
    <t>Verify that creation of a session requires either the user's consent or an explicit action, preventing the creation of new application sessions without user interaction.</t>
  </si>
  <si>
    <t>V8.1</t>
  </si>
  <si>
    <t>Authorization Documentation</t>
  </si>
  <si>
    <t>V8.1.1</t>
  </si>
  <si>
    <t>Verify that authorization documentation defines rules for restricting function-level and data-specific access based on consumer permissions and resource attributes.</t>
  </si>
  <si>
    <t>SecurityConfig enforces per-endpoint RBAC for ADMIN/EMPLOYEE/CLIENT on all routes</t>
  </si>
  <si>
    <t>SDR02, NFR04</t>
  </si>
  <si>
    <t>V8.1.2</t>
  </si>
  <si>
    <t>Verify that authorization documentation defines rules for field-level access restrictions (both read and write) based on consumer permissions and resource attributes. Note that these rules might depend on other attribute values of the relevant data object, such as state or status.</t>
  </si>
  <si>
    <t>SDR09, SDR17</t>
  </si>
  <si>
    <t>V8.1.3</t>
  </si>
  <si>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</si>
  <si>
    <t>No contextual/adaptive authorization (e.g., time-of-day, IP-based) in Coffeetaria</t>
  </si>
  <si>
    <t>V8.1.4</t>
  </si>
  <si>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</si>
  <si>
    <t>No adaptive authorization used</t>
  </si>
  <si>
    <t>V8.2</t>
  </si>
  <si>
    <t>General Authorization Design</t>
  </si>
  <si>
    <t>V8.2.1</t>
  </si>
  <si>
    <t>Verify that the application ensures that function-level access is restricted to consumers with explicit permissions.</t>
  </si>
  <si>
    <t>In Progress</t>
  </si>
  <si>
    <t>SecurityConfig RBAC complete; service-layer @PreAuthorize partially implemented — gap: full service RBAC pending</t>
  </si>
  <si>
    <t>SDR02, NFR04, TC09, TC10</t>
  </si>
  <si>
    <t>V8.2.2</t>
  </si>
  <si>
    <t>Verify that the application ensures that data-specific access is restricted to consumers with explicit permissions to specific data items to mitigate insecure direct object reference (IDOR) and broken object level authorization (BOLA).</t>
  </si>
  <si>
    <t>US12, SDR02, TC12</t>
  </si>
  <si>
    <t>V8.2.3</t>
  </si>
  <si>
    <t>Verify that the application ensures that field-level access is restricted to consumers with explicit permissions to specific fields to mitigate broken object property level authorization (BOPLA).</t>
  </si>
  <si>
    <t>SDR09, TC07</t>
  </si>
  <si>
    <t>V8.2.4</t>
  </si>
  <si>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</si>
  <si>
    <t>No adaptive/contextual authorization implemented</t>
  </si>
  <si>
    <t>V8.3</t>
  </si>
  <si>
    <t>Operation Level Authorization</t>
  </si>
  <si>
    <t>V8.3.1</t>
  </si>
  <si>
    <t>Verify that the application enforces authorization rules at a trusted service layer and doesn't rely on controls that an untrusted consumer could manipulate, such as client-side JavaScript.</t>
  </si>
  <si>
    <t>SDR02, US11</t>
  </si>
  <si>
    <t>V8.3.2</t>
  </si>
  <si>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</si>
  <si>
    <t>US04, US06, SDR03a</t>
  </si>
  <si>
    <t>V8.3.3</t>
  </si>
  <si>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</si>
  <si>
    <t>US11, US12, SDR02</t>
  </si>
  <si>
    <t>V8.4</t>
  </si>
  <si>
    <t>Other Authorization Considerations</t>
  </si>
  <si>
    <t>V8.4.1</t>
  </si>
  <si>
    <t>Verify that multi-tenant applications use cross-tenant controls to ensure consumer operations will never affect tenants with which they do not have permissions to interact.</t>
  </si>
  <si>
    <t>Coffeetaria is single-tenant</t>
  </si>
  <si>
    <t>V8.4.2</t>
  </si>
  <si>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</si>
  <si>
    <t>Admin endpoints should require strong auth; consider step-up for destructive operations</t>
  </si>
  <si>
    <t>V9.1</t>
  </si>
  <si>
    <t>Token source and integrity</t>
  </si>
  <si>
    <t>V9.1.1</t>
  </si>
  <si>
    <t>Verify that self-contained tokens are validated using their digital signature or MAC to protect against tampering before accepting the token's contents.</t>
  </si>
  <si>
    <t>SDR01, SDR03, TC05</t>
  </si>
  <si>
    <t>V9.1.2</t>
  </si>
  <si>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</si>
  <si>
    <t>SDR01, TC05</t>
  </si>
  <si>
    <t>V9.1.3</t>
  </si>
  <si>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</si>
  <si>
    <t>SDR01, SDR18</t>
  </si>
  <si>
    <t>V9.2</t>
  </si>
  <si>
    <t>Token content</t>
  </si>
  <si>
    <t>V9.2.1</t>
  </si>
  <si>
    <t>Verify that, if a validity time span is present in the token data, the token and its content are accepted only if the verification time is within this validity time span. For example, for JWTs, the claims 'nbf' and 'exp' must be verified.</t>
  </si>
  <si>
    <t>JwtTokenUtil.isTokenExpired() validates exp claim; validateToken() called in JwtRequestFilter</t>
  </si>
  <si>
    <t>NFR03, SDR03, TC22</t>
  </si>
  <si>
    <t>V9.2.2</t>
  </si>
  <si>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</si>
  <si>
    <t>V9.2.3</t>
  </si>
  <si>
    <t>Verify that the service only accepts tokens which are intended for use with that service (audience). For JWTs, this can be achieved by validating the 'aud' claim against an allowlist defined in the service.</t>
  </si>
  <si>
    <t>V9.2.4</t>
  </si>
  <si>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</si>
  <si>
    <t>V10.1</t>
  </si>
  <si>
    <t>Generic OAuth and OIDC Security</t>
  </si>
  <si>
    <t>V10.1.1</t>
  </si>
  <si>
    <t>Verify that tokens are only sent to components that strictly need them. For example, when using a backend-for-frontend pattern for browser-based JavaScript applications, access and refresh tokens shall only be accessible for the backend.</t>
  </si>
  <si>
    <t>No OAuth used — self-contained JWT auth</t>
  </si>
  <si>
    <t>V10.1.2</t>
  </si>
  <si>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</si>
  <si>
    <t>No OAuth authorization server</t>
  </si>
  <si>
    <t>V10.2</t>
  </si>
  <si>
    <t>OAuth Client</t>
  </si>
  <si>
    <t>V10.2.1</t>
  </si>
  <si>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</si>
  <si>
    <t>No OAuth client</t>
  </si>
  <si>
    <t>V10.2.2</t>
  </si>
  <si>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</si>
  <si>
    <t>V10.2.3</t>
  </si>
  <si>
    <t>Verify that the OAuth client only requests the required scopes (or other authorization parameters) in requests to the authorization server.</t>
  </si>
  <si>
    <t>No OAuth scopes</t>
  </si>
  <si>
    <t>V10.3</t>
  </si>
  <si>
    <t>OAuth Resource Server</t>
  </si>
  <si>
    <t>V10.3.1</t>
  </si>
  <si>
    <t>Verify that the resource server only accepts access tokens that are intended for use with that service (audience). The audience may be included in a structured access token (such as the 'aud' claim in JWT), or it can be checked using the token introspection endpoint.</t>
  </si>
  <si>
    <t>No OAuth resource server</t>
  </si>
  <si>
    <t>V10.3.2</t>
  </si>
  <si>
    <t>Verify that the resource server enforces authorization decisions based on claims from the access token that define delegated authorization. If claims such as 'sub', 'scope', and 'authorization_details' are present, they must be part of the decision.</t>
  </si>
  <si>
    <t>No OAuth</t>
  </si>
  <si>
    <t>V10.3.3</t>
  </si>
  <si>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</si>
  <si>
    <t>No OAuth — uses internal JWT with sub claim</t>
  </si>
  <si>
    <t>V10.3.4</t>
  </si>
  <si>
    <t>Verify that, if the resource server requires specific authentication strength, methods, or recentness, it verifies that the presented access token satisfies these constraints. For example, if present, using the OIDC 'acr', 'amr' and 'auth_time' claims respectively.</t>
  </si>
  <si>
    <t>V10.3.5</t>
  </si>
  <si>
    <t>Verify that the resource server prevents the use of stolen access tokens or replay of access tokens (from unauthorized parties) by requiring sender-constrained access tokens, either Mutual TLS for OAuth 2 or OAuth 2 Demonstration of Proof of Possession (DPoP).</t>
  </si>
  <si>
    <t>V10.4</t>
  </si>
  <si>
    <t>OAuth Authorization Server</t>
  </si>
  <si>
    <t>V10.4.1</t>
  </si>
  <si>
    <t>Verify that the authorization server validates redirect URIs based on a client-specific allowlist of pre-registered URIs using exact string comparison.</t>
  </si>
  <si>
    <t>Coffeetaria is not an OAuth Authorization Server</t>
  </si>
  <si>
    <t>V10.4.2</t>
  </si>
  <si>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</si>
  <si>
    <t>V10.4.3</t>
  </si>
  <si>
    <t>Verify that the authorization code is short-lived. The maximum lifetime can be up to 10 minutes for L1 and L2 applications and up to 1 minute for L3 applications.</t>
  </si>
  <si>
    <t>V10.4.4</t>
  </si>
  <si>
    <t>Verify that for a given client, the authorization server only allows the usage of grants that this client needs to use. Note that the grants 'token' (Implicit flow) and 'password' (Resource Owner Password Credentials flow) must no longer be used.</t>
  </si>
  <si>
    <t>V10.4.5</t>
  </si>
  <si>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</si>
  <si>
    <t>V10.4.6</t>
  </si>
  <si>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</si>
  <si>
    <t>V10.4.7</t>
  </si>
  <si>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</si>
  <si>
    <t>V10.4.8</t>
  </si>
  <si>
    <t>Verify that refresh tokens have an absolute expiration, including if sliding refresh token expiration is applied.</t>
  </si>
  <si>
    <t>V10.4.9</t>
  </si>
  <si>
    <t>Verify that refresh tokens and reference access tokens can be revoked by an authorized user using the authorization server user interface, to mitigate the risk of malicious clients or stolen tokens.</t>
  </si>
  <si>
    <t>V10.4.10</t>
  </si>
  <si>
    <t>Verify that confidential client is authenticated for client-to-authorized server backchannel requests such as token requests, pushed authorization requests (PAR), and token revocation requests.</t>
  </si>
  <si>
    <t>V10.4.11</t>
  </si>
  <si>
    <t>Verify that the authorization server configuration only assigns the required scopes to the OAuth client.</t>
  </si>
  <si>
    <t>V10.4.12</t>
  </si>
  <si>
    <t>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</si>
  <si>
    <t>V10.4.13</t>
  </si>
  <si>
    <t>Verify that grant type 'code' is always used together with pushed authorization requests (PAR).</t>
  </si>
  <si>
    <t>V10.4.14</t>
  </si>
  <si>
    <t>Verify that the authorization server issues only sender-constrained (Proof-of-Possession) access tokens, either with certificate-bound access tokens using mutual TLS (mTLS) or DPoP-bound access tokens (Demonstration of Proof of Possession).</t>
  </si>
  <si>
    <t>V10.4.15</t>
  </si>
  <si>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</si>
  <si>
    <t>V10.4.16</t>
  </si>
  <si>
    <t>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</si>
  <si>
    <t>V10.5</t>
  </si>
  <si>
    <t>OIDC Client</t>
  </si>
  <si>
    <t>V10.5.1</t>
  </si>
  <si>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</si>
  <si>
    <t>No OpenID Connect used</t>
  </si>
  <si>
    <t>V10.5.2</t>
  </si>
  <si>
    <t>Verify that the client uniquely identifies the user from ID Token claims, usually the 'sub' claim, which cannot be reassigned to other users (for the scope of an identity provider).</t>
  </si>
  <si>
    <t>V10.5.3</t>
  </si>
  <si>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</si>
  <si>
    <t>V10.5.4</t>
  </si>
  <si>
    <t>Verify that the client validates that the ID Token is intended to be used for that client (audience) by checking that the 'aud' claim from the token is equal to the 'client_id' value for the client.</t>
  </si>
  <si>
    <t>V10.5.5</t>
  </si>
  <si>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</si>
  <si>
    <t>V10.6</t>
  </si>
  <si>
    <t>OpenID Provider</t>
  </si>
  <si>
    <t>V10.6.1</t>
  </si>
  <si>
    <t>Verify that the OpenID Provider only allows values 'code', 'ciba', 'id_token', or 'id_token code' for response mode. Note that 'code' is preferred over 'id_token code' (the OIDC Hybrid flow), and 'token' (any Implicit flow) must not be used.</t>
  </si>
  <si>
    <t>Coffeetaria is not an OpenID Provider</t>
  </si>
  <si>
    <t>V10.6.2</t>
  </si>
  <si>
    <t>Verify that the OpenID Provider mitigates denial of service through forced logout. By obtaining explicit confirmation from the end-user or, if present, validating parameters in the logout request (initiated by the relying party), such as the 'id_token_hint'.</t>
  </si>
  <si>
    <t>V10.7</t>
  </si>
  <si>
    <t>Consent Management</t>
  </si>
  <si>
    <t>V10.7.1</t>
  </si>
  <si>
    <t>Verify that the authorization server ensures that the user consents to each authorization request. If the identity of the client cannot be assured, the authorization server must always explicitly prompt the user for consent.</t>
  </si>
  <si>
    <t>No OAuth consent flow</t>
  </si>
  <si>
    <t>V10.7.2</t>
  </si>
  <si>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</si>
  <si>
    <t>V10.7.3</t>
  </si>
  <si>
    <t>Verify that the user can review, modify, and revoke consents which the user has granted through the authorization server.</t>
  </si>
  <si>
    <t>V12.1</t>
  </si>
  <si>
    <t>General TLS Security Guidance</t>
  </si>
  <si>
    <t>V12.1.1</t>
  </si>
  <si>
    <t>Verify that only the latest recommended versions of the TLS protocol are enabled, such as TLS 1.2 and TLS 1.3. The latest version of the TLS protocol must be the preferred option.</t>
  </si>
  <si>
    <t>nginx reverse proxy configured with TLS 1.2+; deploy/nginx/conf.d/cafeteria.conf</t>
  </si>
  <si>
    <t>NFR01, SDR10</t>
  </si>
  <si>
    <t>V12.1.2</t>
  </si>
  <si>
    <t>Verify that only recommended cipher suites are enabled, with the strongest cipher suites set as preferred. L3 applications must only support cipher suites which provide forward secrecy.</t>
  </si>
  <si>
    <t>SDR10a</t>
  </si>
  <si>
    <t>V12.1.3</t>
  </si>
  <si>
    <t>Verify that the application validates that mTLS client certificates are trusted before using the certificate identity for authentication or authorization.</t>
  </si>
  <si>
    <t>Coffeetaria does not use mutual TLS authentication</t>
  </si>
  <si>
    <t>V12.1.4</t>
  </si>
  <si>
    <t>Verify that proper certification revocation, such as Online Certificate Status Protocol (OCSP) Stapling, is enabled and configured.</t>
  </si>
  <si>
    <t>Infrastructure concern — relevant for production deployment</t>
  </si>
  <si>
    <t>V12.1.5</t>
  </si>
  <si>
    <t>Verify that Encrypted Client Hello (ECH) is enabled in the application's TLS settings to prevent exposure of sensitive metadata, such as the Server Name Indication (SNI), during TLS handshake processes.</t>
  </si>
  <si>
    <t>Infrastructure/CDN level concern; out of scope for application layer</t>
  </si>
  <si>
    <t>V12.2</t>
  </si>
  <si>
    <t>HTTPS Communication with External Facing Services</t>
  </si>
  <si>
    <t>V12.2.1</t>
  </si>
  <si>
    <t>Verify that TLS is used for all connectivity between a client and external facing, HTTP-based services, and does not fall back to insecure or unencrypted communications.</t>
  </si>
  <si>
    <t>nginx port 80 redirects all traffic to HTTPS 443; app exposes only internal port</t>
  </si>
  <si>
    <t>SDR10, NFR01</t>
  </si>
  <si>
    <t>V12.2.2</t>
  </si>
  <si>
    <t>Verify that external facing services use publicly trusted TLS certificates.</t>
  </si>
  <si>
    <t>Production deployment must use a CA-signed certificate (not self-signed)</t>
  </si>
  <si>
    <t>V12.3</t>
  </si>
  <si>
    <t>General Service to Service Communication Security</t>
  </si>
  <si>
    <t>V12.3.1</t>
  </si>
  <si>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</si>
  <si>
    <t>App → PostgreSQL connection must use TLS — gap tapado com SDR10b</t>
  </si>
  <si>
    <t>SDR10b</t>
  </si>
  <si>
    <t>V12.3.2</t>
  </si>
  <si>
    <t>Verify that TLS clients validate certificates received before communicating with a TLS server.</t>
  </si>
  <si>
    <t>Certificate validation must be enabled on the PostgreSQL JDBC connection</t>
  </si>
  <si>
    <t>V12.3.3</t>
  </si>
  <si>
    <t>Verify that TLS or another appropriate transport encryption mechanism used for all connectivity between internal, HTTP-based services within the application, and does not fall back to insecure or unencrypted communications.</t>
  </si>
  <si>
    <t>All Docker inter-service communication should use TLS or a secure overlay network</t>
  </si>
  <si>
    <t>V12.3.4</t>
  </si>
  <si>
    <t>Verify that TLS connections between internal services use trusted certificates. Where internally generated or self-signed certificates are used, the consuming service must be configured to only trust specific internal CAs and specific self-signed certificates.</t>
  </si>
  <si>
    <t>Internal Docker certificates must be explicitly trusted; avoid skipping verification</t>
  </si>
  <si>
    <t>V12.3.5</t>
  </si>
  <si>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</si>
  <si>
    <t>App-to-DB authentication uses credentials (SDR18) — verify no IP-only trust</t>
  </si>
  <si>
    <t>SDR18, SDR10</t>
  </si>
  <si>
    <t>V13.1</t>
  </si>
  <si>
    <t>Configuration Documentation</t>
  </si>
  <si>
    <t>V13.1.1</t>
  </si>
  <si>
    <t>Verify that all communication needs for the application are documented. This must include external services which the application relies upon and cases where an end user might be able to provide an external location to which the application will then connect.</t>
  </si>
  <si>
    <t>Document: client → API, API → PostgreSQL, API → filesystem</t>
  </si>
  <si>
    <t>SDR10, SDR10b</t>
  </si>
  <si>
    <t>V13.1.2</t>
  </si>
  <si>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</si>
  <si>
    <t>Define connection pool limits for PostgreSQL</t>
  </si>
  <si>
    <t>NFR07</t>
  </si>
  <si>
    <t>V13.1.3</t>
  </si>
  <si>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</si>
  <si>
    <t>Connection pool timeouts, retry policies for PostgreSQL</t>
  </si>
  <si>
    <t>NFR07, NFR08</t>
  </si>
  <si>
    <t>V13.1.4</t>
  </si>
  <si>
    <t>Verify that the application's documentation defines the secrets that are critical for the security of the application and a schedule for rotating them, based on the organization's threat model and business requirements.</t>
  </si>
  <si>
    <t>Gap tapado com SDR18a — JWT key, DB credentials rotation schedule</t>
  </si>
  <si>
    <t>SDR18a, SDR01a</t>
  </si>
  <si>
    <t>V13.2</t>
  </si>
  <si>
    <t>Backend Communication Configuration</t>
  </si>
  <si>
    <t>V13.2.1</t>
  </si>
  <si>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</si>
  <si>
    <t>App → PostgreSQL uses dedicated service credentials (SDR18)</t>
  </si>
  <si>
    <t>SDR18</t>
  </si>
  <si>
    <t>V13.2.2</t>
  </si>
  <si>
    <t>Verify that communications between backend application components, including local or operating system services, APIs, middleware, and data layers, are performed with accounts assigned the least necessary privileges.</t>
  </si>
  <si>
    <t>App → DB connection must use TLS — SDR10b</t>
  </si>
  <si>
    <t>V13.2.3</t>
  </si>
  <si>
    <t>Verify that if a credential has to be used for service authentication, the credential being used by the consumer is not a default credential (e.g., root/root or admin/admin).</t>
  </si>
  <si>
    <t>PostgreSQL must not use default credentials (postgres/postgres)</t>
  </si>
  <si>
    <t>V13.2.4</t>
  </si>
  <si>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</si>
  <si>
    <t>Gap tapado com SDR18d — only PostgreSQL and filesystem allowed</t>
  </si>
  <si>
    <t>SDR18d</t>
  </si>
  <si>
    <t>V13.2.5</t>
  </si>
  <si>
    <t>Verify that the web or application server is configured with an allowlist of resources or systems to which the server can send requests or load data or files from.</t>
  </si>
  <si>
    <t>SSRF prevention — covered by SDR18d</t>
  </si>
  <si>
    <t>V13.2.6</t>
  </si>
  <si>
    <t>Verify that where the application connects to separate services, it follows the documented configuration for each connection, such as maximum parallel connections, behavior when maximum allowed connections is reached, connection timeouts, and retry strategies.</t>
  </si>
  <si>
    <t>Connection parameters must match documented architecture</t>
  </si>
  <si>
    <t>SDR10b, SDR18</t>
  </si>
  <si>
    <t>V13.3</t>
  </si>
  <si>
    <t>Secret Management</t>
  </si>
  <si>
    <t>V13.3.1</t>
  </si>
  <si>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</si>
  <si>
    <t>Minimum: environment variables via Docker secrets or .env file not committed to git — SDR18</t>
  </si>
  <si>
    <t>SDR18, SDR18a</t>
  </si>
  <si>
    <t>V13.3.2</t>
  </si>
  <si>
    <t>Verify that access to secret assets adheres to the principle of least privilege.</t>
  </si>
  <si>
    <t>DB user should have only the permissions required (no superuser) — SDR15</t>
  </si>
  <si>
    <t>SDR15, SDR18</t>
  </si>
  <si>
    <t>V13.3.3</t>
  </si>
  <si>
    <t>Verify that all cryptographic operations are performed using an isolated security module (such as a vault or hardware security module) to securely manage and protect key material from exposure outside of the security module.</t>
  </si>
  <si>
    <t>Out of scope for this project phase — standard Java crypto libraries used</t>
  </si>
  <si>
    <t>V13.3.4</t>
  </si>
  <si>
    <t>Verify that secrets are configured to expire and be rotated based on the application's documentation.</t>
  </si>
  <si>
    <t>Gap tapado com SDR18a — rotation schedule must be documented and enforced</t>
  </si>
  <si>
    <t>V13.4</t>
  </si>
  <si>
    <t>Unintended Information Leakage</t>
  </si>
  <si>
    <t>V13.4.1</t>
  </si>
  <si>
    <t>Verify that the application is deployed either without any source control metadata, including the .git or .svn folders, or in a way that these folders are inaccessible both externally and to the application itself.</t>
  </si>
  <si>
    <t>.dockerignore created: excludes .git, target/, .env*, .vscode/, .idea/</t>
  </si>
  <si>
    <t>SDR18b</t>
  </si>
  <si>
    <t>V13.4.2</t>
  </si>
  <si>
    <t>Verify that debug modes are disabled for all components in production environments to prevent exposure of debugging features and information leakage.</t>
  </si>
  <si>
    <t>GlobalExceptionHandler catch-all returns generic message; stack trace logged internally via SLF4J</t>
  </si>
  <si>
    <t>SDR12, SDR18c</t>
  </si>
  <si>
    <t>V13.4.3</t>
  </si>
  <si>
    <t>Verify that web servers do not expose directory listings to clients unless explicitly intended.</t>
  </si>
  <si>
    <t>Spring Boot REST API does not serve static directory listings</t>
  </si>
  <si>
    <t>V13.4.4</t>
  </si>
  <si>
    <t>Verify that using the HTTP TRACE method is not supported in production environments, to avoid potential information leakage.</t>
  </si>
  <si>
    <t>Must be disabled in Spring Boot / embedded Tomcat configuration</t>
  </si>
  <si>
    <t>SDR11</t>
  </si>
  <si>
    <t>V13.4.5</t>
  </si>
  <si>
    <t>Verify that documentation (such as for internal APIs) and monitoring endpoints are not exposed unless explicitly intended.</t>
  </si>
  <si>
    <t>application.properties: management.endpoints.web.exposure.include=health; SecurityConfig blocks /actuator/**</t>
  </si>
  <si>
    <t>SDR18c</t>
  </si>
  <si>
    <t>V13.4.6</t>
  </si>
  <si>
    <t>Verify that the application does not expose detailed version information of backend components.</t>
  </si>
  <si>
    <t>Remove X-Powered-By, Server headers; suppress Spring Boot version in responses</t>
  </si>
  <si>
    <t>SDR11, SDR12</t>
  </si>
  <si>
    <t>V13.4.7</t>
  </si>
  <si>
    <t>Verify that the web tier is configured to only serve files with specific file extensions to prevent unintentional information, configuration, and source code leakage.</t>
  </si>
  <si>
    <t>REST API — no static file serving beyond CSV reports (controlled by SDR13)</t>
  </si>
  <si>
    <t>V14.1</t>
  </si>
  <si>
    <t>Data Protection Documentation</t>
  </si>
  <si>
    <t>V14.1.1</t>
  </si>
  <si>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</si>
  <si>
    <t>Must classify: credentials, JWT tokens, order data, balance, CSV reports, PII</t>
  </si>
  <si>
    <t>SDR16, SDR17</t>
  </si>
  <si>
    <t>V14.1.2</t>
  </si>
  <si>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</si>
  <si>
    <t>e.g., passwords → hashed (NFR02); tokens → blocklisted on logout (SDR03a); reports → access-controlled (SDR14)</t>
  </si>
  <si>
    <t>NFR02, SDR03a, SDR14</t>
  </si>
  <si>
    <t>V14.2</t>
  </si>
  <si>
    <t>General Data Protection</t>
  </si>
  <si>
    <t>V14.2.1</t>
  </si>
  <si>
    <t>Verify that sensitive data is only sent to the server in the HTTP message body or header fields, and that the URL and query string do not contain sensitive information, such as an API key or session token.</t>
  </si>
  <si>
    <t>Gap tapado com SDR16a — passwords/tokens must never appear in URLs</t>
  </si>
  <si>
    <t>SDR16a</t>
  </si>
  <si>
    <t>V14.2.2</t>
  </si>
  <si>
    <t>Verify that the application prevents sensitive data from being cached in server components, such as load balancers and application caches, or ensures that the data is securely purged after use.</t>
  </si>
  <si>
    <t>Gap tapado com SDR16b — Cache-Control: no-store on sensitive responses</t>
  </si>
  <si>
    <t>SDR16b</t>
  </si>
  <si>
    <t>V14.2.3</t>
  </si>
  <si>
    <t>Verify that defined sensitive data is not sent to untrusted parties (e.g., user trackers) to prevent unwanted collection of data outside of the application's control.</t>
  </si>
  <si>
    <t>Coffeetaria has no third-party analytics or tracking integrations</t>
  </si>
  <si>
    <t>V14.2.4</t>
  </si>
  <si>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</si>
  <si>
    <t>Covered collectively by SDR16, SDR16c, NFR02, SDR19, SDR20</t>
  </si>
  <si>
    <t>SDR16, SDR16c, NFR02</t>
  </si>
  <si>
    <t>V14.2.5</t>
  </si>
  <si>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</si>
  <si>
    <t>Spring Boot responses must set explicit Content-Type; caching disabled for API endpoints</t>
  </si>
  <si>
    <t>V14.2.6</t>
  </si>
  <si>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</si>
  <si>
    <t>SDR09 — response serialization must exclude internal fields (password hash, internal IDs)</t>
  </si>
  <si>
    <t>V14.2.7</t>
  </si>
  <si>
    <t>Verify that sensitive information is subject to data retention classification, ensuring that outdated or unnecessary data is deleted automatically, on a defined schedule, or as the situation requires.</t>
  </si>
  <si>
    <t>Gap tapado com SDR16c — define retention for orders, audit logs, CSV reports</t>
  </si>
  <si>
    <t>SDR16c</t>
  </si>
  <si>
    <t>V14.2.8</t>
  </si>
  <si>
    <t>Verify that sensitive information is removed from the metadata of user-submitted files unless storage is consented to by the user.</t>
  </si>
  <si>
    <t>Coffeetaria does not accept user-submitted files with metadata</t>
  </si>
  <si>
    <t>V14.3</t>
  </si>
  <si>
    <t>Client-side Data Protection</t>
  </si>
  <si>
    <t>V14.3.1</t>
  </si>
  <si>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</si>
  <si>
    <t>REST API — no browser storage; JWT stored client-side by the API consumer</t>
  </si>
  <si>
    <t>V14.3.2</t>
  </si>
  <si>
    <t>Verify that the application sets sufficient anti-caching HTTP response header fields (i.e., Cache-Control: no-store) so that sensitive data is not cached in browsers.</t>
  </si>
  <si>
    <t>Gap tapado com SDR16b — required for all sensitive endpoints</t>
  </si>
  <si>
    <t>V14.3.3</t>
  </si>
  <si>
    <t>Verify that data stored in browser storage (such as localStorage, sessionStorage, IndexedDB, or cookies) does not contain sensitive data, with the exception of session tokens.</t>
  </si>
  <si>
    <t>REST API — no browser localStorage/sessionStorage/cookies used</t>
  </si>
  <si>
    <t>V15.1</t>
  </si>
  <si>
    <t>Secure Coding and Architecture Documentation</t>
  </si>
  <si>
    <t>V15.1.1</t>
  </si>
  <si>
    <t>Verify that application documentation defines risk based remediation time frames for 3rd party component versions with vulnerabilities and for updating libraries in general, to minimize the risk from these components.</t>
  </si>
  <si>
    <t>Gap tapado com SDR22b — Critical: 24h, High: 7d, Medium: 30d</t>
  </si>
  <si>
    <t>SDR22b, SDR23</t>
  </si>
  <si>
    <t>V15.1.2</t>
  </si>
  <si>
    <t>Verify that an inventory catalog, such as software bill of materials (SBOM), is maintained of all third-party libraries in use, including verifying that components come from pre-defined, trusted, and continually maintained repositories.</t>
  </si>
  <si>
    <t>Gap tapado com SDR22a — generate SBOM via Maven/Gradle plugin</t>
  </si>
  <si>
    <t>SDR22a, SDR22</t>
  </si>
  <si>
    <t>V15.1.3</t>
  </si>
  <si>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</si>
  <si>
    <t>Report generation (FR22) and order listing are candidates — document in architecture</t>
  </si>
  <si>
    <t>FR22, NFR06</t>
  </si>
  <si>
    <t>V15.1.4</t>
  </si>
  <si>
    <t>Verify that application documentation highlights third-party libraries which are considered to be "risky components".</t>
  </si>
  <si>
    <t>e.g., JWT library, file I/O libraries — flag in dependency review (SDR24)</t>
  </si>
  <si>
    <t>SDR24</t>
  </si>
  <si>
    <t>V15.1.5</t>
  </si>
  <si>
    <t>Verify that application documentation highlights parts of the application where "dangerous functionality" is being used.</t>
  </si>
  <si>
    <t>File operations (FR22/FR23), admin report endpoints — already documented in threat model</t>
  </si>
  <si>
    <t>FR22, FR23, SDR13</t>
  </si>
  <si>
    <t>V15.2</t>
  </si>
  <si>
    <t>Security Architecture and Dependencies</t>
  </si>
  <si>
    <t>V15.2.1</t>
  </si>
  <si>
    <t>Verify that the application only contains components which have not breached the documented update and remediation time frames.</t>
  </si>
  <si>
    <t>OWASP Dependency-Check 12.2.0 in CI; failBuildOnCVSS=7; NVD_API_KEY via env</t>
  </si>
  <si>
    <t>V15.2.2</t>
  </si>
  <si>
    <t>Verify that the application has implemented defenses against loss of availability due to functionality which is time-consuming or resource-demanding, based on the documented security decisions and strategies for this.</t>
  </si>
  <si>
    <t>Report generation must have timeout and size limits to prevent DoS</t>
  </si>
  <si>
    <t>FR22, NFR07</t>
  </si>
  <si>
    <t>V15.2.3</t>
  </si>
  <si>
    <t>Verify that the production environment only includes functionality that is required for the application to function, and does not expose extraneous functionality such as test code, sample snippets, and development functionality.</t>
  </si>
  <si>
    <t>Multi-stage Docker build (maven:3.9-alpine → eclipse-temurin:17-jre-alpine); non-root USER appuser</t>
  </si>
  <si>
    <t>SDR24a</t>
  </si>
  <si>
    <t>V15.2.4</t>
  </si>
  <si>
    <t>Verify that third-party components and all of their transitive dependencies are included from the expected repository, whether internally owned or an external source, and that there is no risk of a dependency confusion attack.</t>
  </si>
  <si>
    <t>Maven Central only; verify no unofficial repository mirrors in pom.xml</t>
  </si>
  <si>
    <t>SDR22, SDR22a</t>
  </si>
  <si>
    <t>V15.2.5</t>
  </si>
  <si>
    <t>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</si>
  <si>
    <t>File operations (FR22/FR23) have allowlist (SDR13) + dedicated directory (SDR14)</t>
  </si>
  <si>
    <t>SDR13, SDR14</t>
  </si>
  <si>
    <t>V15.3</t>
  </si>
  <si>
    <t>Defensive Coding</t>
  </si>
  <si>
    <t>V15.3.1</t>
  </si>
  <si>
    <t>Verify that the application only returns the required subset of fields from a data object. For example, it should not return an entire data object, as some individual fields should not be accessible to users.</t>
  </si>
  <si>
    <t>SDR09 — response DTOs must exclude password hash, internal IDs, tokens</t>
  </si>
  <si>
    <t>V15.3.2</t>
  </si>
  <si>
    <t>Verify that where the application backend makes calls to external URLs, it is configured to not follow redirects unless it is intended functionality.</t>
  </si>
  <si>
    <t>SSRF protection — SDR18d; Spring RestTemplate/WebClient must disable auto-redirect</t>
  </si>
  <si>
    <t>V15.3.3</t>
  </si>
  <si>
    <t>Verify that the application has countermeasures to protect against mass assignment attacks by limiting allowed fields per controller and action, e.g., it is not possible to insert or update a field value when it was not intended to be part of that action.</t>
  </si>
  <si>
    <t>SDR07 — use explicit DTOs; Jackson @JsonIgnoreProperties(ignoreUnknown = false)</t>
  </si>
  <si>
    <t>SDR07</t>
  </si>
  <si>
    <t>V15.3.4</t>
  </si>
  <si>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</si>
  <si>
    <t>ForwardedHeaderFilter + X-Forwarded-For extraction in AuthController for real IP in audit logs</t>
  </si>
  <si>
    <t>SDR24b, SDR19</t>
  </si>
  <si>
    <t>V15.3.5</t>
  </si>
  <si>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</si>
  <si>
    <t>Java is strongly typed — enforce via strict deserialization and schema validation (SDR06)</t>
  </si>
  <si>
    <t>V15.3.6</t>
  </si>
  <si>
    <t>Verify that JavaScript code is written in a way that prevents prototype pollution, for example, by using Set() or Map() instead of object literals.</t>
  </si>
  <si>
    <t>Java backend — no JavaScript code</t>
  </si>
  <si>
    <t>V15.3.7</t>
  </si>
  <si>
    <t>Verify that the application has defenses against HTTP parameter pollution attacks, particularly if the application framework makes no distinction about the source of request parameters (query string, body parameters, cookies, or header fields).</t>
  </si>
  <si>
    <t>Spring Boot must reject duplicate parameters; validate with strict schema (SDR06)</t>
  </si>
  <si>
    <t>V15.4</t>
  </si>
  <si>
    <t>Safe Concurrency</t>
  </si>
  <si>
    <t>V15.4.1</t>
  </si>
  <si>
    <t>Verify that shared objects in multi-threaded code (such as caches, files, or in-memory objects accessed by multiple threads) are accessed safely by using thread-safe types and synchronization mechanisms like locks or semaphores to avoid race conditions and data corruption.</t>
  </si>
  <si>
    <t>Spring Boot is multi-threaded — verify no shared mutable state in singleton beans</t>
  </si>
  <si>
    <t>V15.4.2</t>
  </si>
  <si>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</si>
  <si>
    <t>Order creation + balance deduction must be atomic — covered by TC39</t>
  </si>
  <si>
    <t>TC39, SDR06</t>
  </si>
  <si>
    <t>V15.4.3</t>
  </si>
  <si>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</si>
  <si>
    <t>Database transactions (NFR09) provide ordering — verify no application-level lock inversion</t>
  </si>
  <si>
    <t>NFR09</t>
  </si>
  <si>
    <t>V15.4.4</t>
  </si>
  <si>
    <t>Verify that resource allocation policies prevent thread starvation by ensuring fair access to resources, such as by leveraging thread pools, allowing lower-priority threads to proceed within a reasonable timeframe.</t>
  </si>
  <si>
    <t>Spring Boot thread pool must be configured with bounded queues to prevent starvation</t>
  </si>
  <si>
    <t>V16.1</t>
  </si>
  <si>
    <t>Security Logging Documentation</t>
  </si>
  <si>
    <t>V16.1.1</t>
  </si>
  <si>
    <t>Verify that an inventory exists documenting the logging performed at each layer of the application's technology stack, what events are being logged, log formats, where that logging is stored, how it is used, how access to it is controlled, and for how long logs are kept.</t>
  </si>
  <si>
    <t>Must document: auth logs, audit logs, error logs, access logs — gap tapado com SDR19a</t>
  </si>
  <si>
    <t>SDR19a, NFR13</t>
  </si>
  <si>
    <t>V16.2</t>
  </si>
  <si>
    <t>General Logging</t>
  </si>
  <si>
    <t>V16.2.1</t>
  </si>
  <si>
    <t>Verify that each log entry includes necessary metadata (such as when, where, who, what) that would allow for a detailed investigation of the timeline when an event happens.</t>
  </si>
  <si>
    <t>NFR13 defines structured logs; SDR19a mandates JSON format with all fields</t>
  </si>
  <si>
    <t>NFR13, SDR19a</t>
  </si>
  <si>
    <t>V16.2.2</t>
  </si>
  <si>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</si>
  <si>
    <t>Gap tapado com SDR19a — NTP sync + UTC timestamps mandatory</t>
  </si>
  <si>
    <t>SDR19a</t>
  </si>
  <si>
    <t>V16.2.3</t>
  </si>
  <si>
    <t>Verify that the application only stores or broadcasts logs to the files and services that are documented in the log inventory.</t>
  </si>
  <si>
    <t>Log destinations must be listed in the logging inventory (SDR19a)</t>
  </si>
  <si>
    <t>SDR19a, SDR21</t>
  </si>
  <si>
    <t>V16.2.4</t>
  </si>
  <si>
    <t>Verify that logs can be read and correlated by the log processor that is in use, preferably by using a common logging format.</t>
  </si>
  <si>
    <t>Structured JSON logs (SDR19a) are machine-readable and correlatable</t>
  </si>
  <si>
    <t>V16.2.5</t>
  </si>
  <si>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</si>
  <si>
    <t>Removed BCrypt hash println from CustomUserDetailsService; HIBP errors use SLF4J warn</t>
  </si>
  <si>
    <t>SDR16, SDR16c</t>
  </si>
  <si>
    <t>V16.3</t>
  </si>
  <si>
    <t>Security Events</t>
  </si>
  <si>
    <t>V16.3.1</t>
  </si>
  <si>
    <t>Verify that all authentication operations are logged, including successful and unsuccessful attempts. Additional metadata, such as the type of authentication or factors used, should also be collected.</t>
  </si>
  <si>
    <t>SecurityAuditLogger: IP, timestamp, username, method, path logged for all auth events</t>
  </si>
  <si>
    <t>SDR19, TC32</t>
  </si>
  <si>
    <t>V16.3.2</t>
  </si>
  <si>
    <t>Verify that failed authorization attempts are logged. For L3, this must include logging all authorization decisions, including logging when sensitive data is accessed (without logging the sensitive data itself).</t>
  </si>
  <si>
    <t>logAccessDenied() called in SecurityConfig accessDeniedHandler and GlobalExceptionHandler</t>
  </si>
  <si>
    <t>SDR20a</t>
  </si>
  <si>
    <t>V16.3.3</t>
  </si>
  <si>
    <t>Verify that the application logs the security events that are defined in the documentation and also logs attempts to bypass the security controls, such as input validation, business logic, and anti-automation.</t>
  </si>
  <si>
    <t>SDR20 covers privileged actions; SDR20a covers failed authz</t>
  </si>
  <si>
    <t>SDR20, SDR20a</t>
  </si>
  <si>
    <t>V16.3.4</t>
  </si>
  <si>
    <t>Verify that the application logs unexpected errors and security control failures such as backend TLS failures.</t>
  </si>
  <si>
    <t>Gap tapado com SDR20b — ERROR level with full context</t>
  </si>
  <si>
    <t>SDR20b</t>
  </si>
  <si>
    <t>V16.4</t>
  </si>
  <si>
    <t>Log Protection</t>
  </si>
  <si>
    <t>V16.4.1</t>
  </si>
  <si>
    <t>Verify that all logging components appropriately encode data to prevent log injection.</t>
  </si>
  <si>
    <t>SecurityAuditLogger.sanitize() strips \r\n\t from all logged values</t>
  </si>
  <si>
    <t>SDR19b</t>
  </si>
  <si>
    <t>V16.4.2</t>
  </si>
  <si>
    <t>Verify that logs are protected from unauthorized access and cannot be modified.</t>
  </si>
  <si>
    <t>Covered by SDR21 — append-only or external sink</t>
  </si>
  <si>
    <t>SDR21</t>
  </si>
  <si>
    <t>V16.4.3</t>
  </si>
  <si>
    <t>Verify that logs are securely transmitted to a logically separate system for analysis, detection, alerting, and escalation. The aim is to ensure that if the application is breached, the logs are not compromised.</t>
  </si>
  <si>
    <t>Logs should be forwarded to an external SIEM or log aggregator (e.g., ELK, Loki)</t>
  </si>
  <si>
    <t>SDR21, SDR21a</t>
  </si>
  <si>
    <t>V16.5</t>
  </si>
  <si>
    <t>Error Handling</t>
  </si>
  <si>
    <t>V16.5.1</t>
  </si>
  <si>
    <t>Verify that a generic message is returned to the consumer when an unexpected or security-sensitive error occurs, ensuring no exposure of sensitive internal system data such as stack traces, queries, secret keys, and tokens.</t>
  </si>
  <si>
    <t>GlobalExceptionHandler generic handler returns "An unexpected error occurred" without ex.getMessage()</t>
  </si>
  <si>
    <t>SDR12, SDR21a</t>
  </si>
  <si>
    <t>V16.5.2</t>
  </si>
  <si>
    <t>Verify that the application continues to operate securely when external resource access fails, for example, by using patterns such as circuit breakers or graceful degradation.</t>
  </si>
  <si>
    <t>PostgreSQL unavailability must not cause fail-open; use circuit breaker or graceful degradation</t>
  </si>
  <si>
    <t>NFR08</t>
  </si>
  <si>
    <t>V16.5.3</t>
  </si>
  <si>
    <t>Verify that the application fails gracefully and securely, including when an exception occurs, preventing fail-open conditions such as processing a transaction despite errors resulting from validation logic.</t>
  </si>
  <si>
    <t>@RestControllerAdvice GlobalExceptionHandler handles all exception types</t>
  </si>
  <si>
    <t>SDR21a</t>
  </si>
  <si>
    <t>V16.5.4</t>
  </si>
  <si>
    <t>Verify that a "last resort" error handler is defined which will catch all unhandled exceptions. This is both to avoid losing error details that must go to log files and to ensure that an error does not take down the entire application process, leading to a loss of availability.</t>
  </si>
  <si>
    <t>GlobalExceptionHandler with @RestControllerAdvice catch-all Exception handler</t>
  </si>
  <si>
    <t>V17.1</t>
  </si>
  <si>
    <t>TURN Server</t>
  </si>
  <si>
    <t>V17.1.1</t>
  </si>
  <si>
    <t>Verify that the Traversal Using Relays around NAT (TURN) service only allows access to IP addresses that are not reserved for special purposes (e.g., internal networks, broadcast, loopback). Note that this applies to both IPv4 and IPv6 addresses.</t>
  </si>
  <si>
    <t>No TURN server — Coffeetaria has no WebRTC</t>
  </si>
  <si>
    <t>V17.1.2</t>
  </si>
  <si>
    <t>Verify that the Traversal Using Relays around NAT (TURN) service is not susceptible to resource exhaustion when legitimate users attempt to open a large number of ports on the TURN server.</t>
  </si>
  <si>
    <t>No TURN server used</t>
  </si>
  <si>
    <t>V17.2</t>
  </si>
  <si>
    <t>Media</t>
  </si>
  <si>
    <t>V17.2.1</t>
  </si>
  <si>
    <t>Verify that the key for the Datagram Transport Layer Security (DTLS) certificate is managed and protected based on the documented policy for management of cryptographic keys.</t>
  </si>
  <si>
    <t>No media server or DTLS used</t>
  </si>
  <si>
    <t>V17.2.2</t>
  </si>
  <si>
    <t>Verify that the media server is configured to use and support approved Datagram Transport Layer Security (DTLS) cipher suites and a secure protection profile for the DTLS Extension for establishing keys for the Secure Real-time Transport Protocol (DTLS-SRTP).</t>
  </si>
  <si>
    <t>No media server used</t>
  </si>
  <si>
    <t>V17.2.3</t>
  </si>
  <si>
    <t>Verify that Secure Real-time Transport Protocol (SRTP) authentication is checked at the media server to prevent Real-time Transport Protocol (RTP) injection attacks from leading to either a Denial of Service condition or audio or video media insertion into media streams.</t>
  </si>
  <si>
    <t>No real-time media protocol used</t>
  </si>
  <si>
    <t>V17.2.4</t>
  </si>
  <si>
    <t>Verify that the media server is able to continue processing incoming media traffic when encountering malformed Secure Real-time Transport Protocol (SRTP) packets.</t>
  </si>
  <si>
    <t>V17.2.5</t>
  </si>
  <si>
    <t>Verify that the media server is able to continue processing incoming media traffic during a flood of Secure Real-time Transport Protocol (SRTP) packets from legitimate users.</t>
  </si>
  <si>
    <t>V17.2.6</t>
  </si>
  <si>
    <t>Verify that the media server is not susceptible to the "ClientHello" Race Condition vulnerability in Datagram Transport Layer Security (DTLS) by checking if the media server is publicly known to be vulnerable or by performing the race condition test.</t>
  </si>
  <si>
    <t>V17.2.7</t>
  </si>
  <si>
    <t>Verify that any audio or video recording mechanisms associated with the media server are able to continue processing incoming media traffic during a flood of Secure Real-time Transport Protocol (SRTP) packets from legitimate users.</t>
  </si>
  <si>
    <t>No recording mechanisms used</t>
  </si>
  <si>
    <t>V17.2.8</t>
  </si>
  <si>
    <t>Verify that the Datagram Transport Layer Security (DTLS) certificate is checked against the Session Description Protocol (SDP) fingerprint attribute, terminating the media stream if the check fails, to ensure the authenticity of the media stream.</t>
  </si>
  <si>
    <t>No media server or SDP used</t>
  </si>
  <si>
    <t>V17.3</t>
  </si>
  <si>
    <t>Signaling</t>
  </si>
  <si>
    <t>V17.3.1</t>
  </si>
  <si>
    <t>Verify that the signaling server is able to continue processing legitimate incoming signaling messages during a flood attack. This should be achieved by implementing rate limiting at the signaling level.</t>
  </si>
  <si>
    <t>No signaling server used</t>
  </si>
  <si>
    <t>V17.3.2</t>
  </si>
  <si>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</si>
  <si>
    <t>Spring Data JPA / Hibernate em todos os repositórios; queries parametrizadas, sem SQL nativo nem concatenação. Protege contra SQL injection (SDR08, TC17).</t>
  </si>
  <si>
    <t>Sem execução de comandos do sistema operativo; operações de ficheiros feitas exclusivamente via java.nio.file.Files (sem Runtime.exec nem ProcessBuilder).</t>
  </si>
  <si>
    <t>Regex @Pattern em FileWriteRequestDTO e DirectoryCreateRequestDTO reescritos para forma linear no Sprint 2, eliminando backtracking catastrófico (ReDoS). Ver Deliverables/phase2/sprint2/security_findings.md.</t>
  </si>
  <si>
    <t>Input validado contra regras de negócio: @Valid/@Pattern/@Size nas DTOs e regras de domínio (data futura em Purchase/Menu, prato tem de estar no menu do dia, saldo suficiente).</t>
  </si>
  <si>
    <t>Validação server-side na fronteira (@Valid no controller) e nas entidades de domínio (User.deductBalance, construtores Purchase/Menu); nunca apenas no cliente.</t>
  </si>
  <si>
    <t>Combinações coerentes validadas: prato tem de pertencer ao menu da data; tipos de prato (meat/fish/vegetarian) validados no construtor de Menu.</t>
  </si>
  <si>
    <t>PurchaseService anotado @Transactional — operações de negócio completam-se na totalidade ou revertem (atomicidade). Coberto pelo teste PurchaseServiceTest.createPurchase_insufficientBalance_isRejectedAndNothingPersisted (TC39).</t>
  </si>
  <si>
    <t>Limite de saldo aplicado às compras; outros limites de quantidade ainda não.</t>
  </si>
  <si>
    <t>Rate limiting no login (SimpleRateLimiter); ainda não estendido a compras/menu/ficheiros.</t>
  </si>
  <si>
    <t>Regras de validação documentadas em analysis.md (FRs), SDRs e design.md.</t>
  </si>
  <si>
    <t>Validação lógica/contextual documentada nos FRs e regras de domínio.</t>
  </si>
  <si>
    <t>Limites de negócio documentados (FR17a-c saldo; regras de menu).</t>
  </si>
  <si>
    <t>HSTS aplicado em duas camadas: nginx (Strict-Transport-Security: max-age=31536000; includeSubDomains) e Spring Security (httpStrictTransportSecurity, includeSubDomains, maxAge 1 ano).</t>
  </si>
  <si>
    <t>CORS com allowlist de origens via property app.cors.allowed-origins (CorsConfiguration.setAllowedOrigins); nunca Access-Control-Allow-Origin: *.</t>
  </si>
  <si>
    <t>Spring Security envia X-Content-Type-Options: nosniff por default (não desativado na configuração de headers).</t>
  </si>
  <si>
    <t>API stateless: CSRF desativado por design; proteção contra request forgery garantida pela exigência do header Authorization: Bearer (header não-safelisted por CORS), conforme alternativa aceite pelo requisito.</t>
  </si>
  <si>
    <t>A aplicação não depende do mecanismo de CORS preflight para proteger funcionalidade sensível (usa o Bearer token, ver V3.5.1); condição do requisito não se aplica.</t>
  </si>
  <si>
    <t>Funcionalidade com alteração de estado usa POST/PUT/DELETE (@PostMapping/@PutMapping/@DeleteMapping); GET apenas para leitura.</t>
  </si>
  <si>
    <t>@RestController + Jackson definem Content-Type: application/json (UTF-8 por default para JSON) em todas as respostas com corpo.</t>
  </si>
  <si>
    <t>App confia em X-Forwarded-Proto para tratar o pedido como seguro atrás do nginx (app.security.require-https). Assenta no pressuposto de deployment de que a app só é alcançável via nginx; ainda não há allowlist de proxies de confiança.</t>
  </si>
  <si>
    <t>Spring MVC devolve 405 Method Not Allowed para métodos não mapeados; cada endpoint declara explicitamente os métodos suportados.</t>
  </si>
  <si>
    <t>Tomcat embebido determina os limites das mensagens HTTP/1.1 e aplica defesas contra request smuggling; tráfego termina em HTTP/1.1 via nginx.</t>
  </si>
  <si>
    <t>Spring Boot/Tomcat geram o Content-Length de forma consistente com o framing do corpo da resposta.</t>
  </si>
  <si>
    <t>Comunicação em HTTP/1.1 (nginx -&gt; app); o framework não aceita header fields connection-specific abusivos como Transfer-Encoding em multiplexação.</t>
  </si>
  <si>
    <t>Tomcat rejeita sequências CR/LF/CRLF em nomes e valores de header, prevenindo header injection.</t>
  </si>
  <si>
    <t>Único pedido outbound é para a API HIBP com prefixo SHA-1 de 5 caracteres (comprimento fixo, não controlado pelo utilizador); URIs e headers limitados.</t>
  </si>
  <si>
    <t>Ficheiros gerados/escritos são guardados num basePath dedicado (FileSystemService) que não é web root nem servido estaticamente; o conteúdo é devolvido em JSON (FileContentResponseDTO) através de um controller, nunca executado como código server-side.</t>
  </si>
  <si>
    <t>A aplicação não serve ficheiros como download nem define Content-Disposition; o conteúdo é devolvido no corpo JSON e o path é validado por @Pattern. Não há nomes de ficheiro colocados em headers de resposta.</t>
  </si>
  <si>
    <t>Rate limiting / anti-automation documentado em SDR04 e implementado por SimpleRateLimiter (5 tentativas / 15 min por username e por IP), prevenindo brute force e credential stuffing sem lockout malicioso permanente.</t>
  </si>
  <si>
    <t>Utilizador muda a própria password via PUT /api/users/me (UserService.updateUser), com validação de policy + verificação HIBP.</t>
  </si>
  <si>
    <t>PasswordPolicyService valida apenas comprimento (min 12, max 128); não há regras de composição que bloqueiem caracteres ou exijam classes específicas.</t>
  </si>
  <si>
    <t>Não há expiração periódica forçada de passwords; a password mantém-se válida até ser rodada pelo utilizador ou detetada como comprometida (HIBP).</t>
  </si>
  <si>
    <t>Verificação contra passwords em data breaches (HaveIBeenPwnedClient, k-anonymity SHA-1) aplicada tanto no registo (createUser) como na mudança (updateUser).</t>
  </si>
  <si>
    <t>Caminho de autenticação único e documentado (login username/password -&gt; JWT); não existem pathways de autenticação não documentados.</t>
  </si>
  <si>
    <t>A aplicação não gera passwords iniciais nem códigos de ativação automaticamente; a password é fornecida no pedido (UserDTO) ao criar a conta.</t>
  </si>
  <si>
    <t>Tempo de vida da sessão documentado: jwt.expiration=3600 (1h, timeout absoluto) em application.properties e NFR03; aplicado em cada pedido via JwtTokenUtil.validateToken().</t>
  </si>
  <si>
    <t>Verificação do token feita no backend de confiança: assinatura JWT (HS256) validada server-side no JwtRequestFilter/JwtTokenUtil em cada pedido (SDR01, SDR03).</t>
  </si>
  <si>
    <t>Tokens auto-contidos (JWT assinado HS256), gerados dinamicamente a cada login; não se usam segredos/chaves de API estáticos como token de sessão.</t>
  </si>
  <si>
    <t>Novo JWT emitido a cada autenticação; por ser token stateless auto-contido, o token anterior não é explicitamente terminado (mantém-se válido até expirar ou ser colocado no TokenBlocklist via logout).</t>
  </si>
  <si>
    <t>Regras de acesso ao nível de campo documentadas em SDR09/SDR17 e implementadas em UserService.convertToDTO (password hash e ID interno nunca devolvidos); documentação completa ainda em curso.</t>
  </si>
  <si>
    <t>Acesso a dados específicos restrito por ownership: PurchaseController compara clientId/clientUsername com o utilizador autenticado (auth.getName()) e devolve 403 se não corresponder; previne IDOR/BOLA. Admin tem acesso total.</t>
  </si>
  <si>
    <t>Acesso ao nível de campo (BOPLA): UserService.convertToDTO devolve apenas externalId/username/type/balance; password hash e ID numérico interno nunca são expostos.</t>
  </si>
  <si>
    <t>Autorização aplicada em camada de confiança server-side: SecurityConfig (RBAC por rota) + @PreAuthorize + verificação de ownership pelo principal autenticado, nunca por valores manipuláveis pelo cliente.</t>
  </si>
  <si>
    <t>JwtRequestFilter recarrega o utilizador a cada pedido, pelo que mudanças de role têm efeito no pedido seguinte; desativação de conta ainda não é aplicada de imediato (filtro não verifica isEnabled()).</t>
  </si>
  <si>
    <t>Decisão de acesso baseada no subject autenticado (JWT sub / auth.getName()), não em IDs fornecidos pelo cliente nem em tokens de intermediário; serviço único sem chamadas machine-to-machine.</t>
  </si>
  <si>
    <t>JwtTokenUtil verifica o MAC HS256 via Jwts.parserBuilder().setSigningKey(key).parseClaimsJws() antes de aceitar os claims; assinatura inválida é rejeitada. (RS256 seria melhoria, não requisito.)</t>
  </si>
  <si>
    <t>Algoritmo único HS256 com chave HMAC fixa; o parser JJWT rejeita alg:none e qualquer assinatura que não corresponda à chave. Só algoritmo simétrico, sem risco de key confusion.</t>
  </si>
  <si>
    <t>Chave de validação obtida de fonte pré-configurada (jwt.secret via hmacShaKeyFor), nunca derivada do conteúdo/headers do token; JJWT com chave estática ignora jku/x5u/jwk.</t>
  </si>
  <si>
    <t>Existe um único tipo de token auto-contido (access token com sub + role), usado apenas para autorização; não há ID tokens nem outros tipos que possam ser confundidos.</t>
  </si>
  <si>
    <t>Deployment de serviço único com segredo HS256 dedicado e não partilhado; um token não pode ser válido noutro serviço, pelo que a restrição de audience (aud) não se aplica.</t>
  </si>
  <si>
    <t>Um único emissor e uma única audiência; a mesma chave não é usada para audiences distintas.</t>
  </si>
  <si>
    <t>Gestão da chave JWT via jwt.secret (env var) documentada em SDR01a; política completa de ciclo de vida/rotação ainda por formalizar.</t>
  </si>
  <si>
    <t>Apenas implementações validadas: JJWT, Spring Security (BCrypt), Java JCE e OpenSSL (nginx TLS). Sem cripto custom.</t>
  </si>
  <si>
    <t>Agilidade parcial: PasswordEncoder é um bean substituível, mas o algoritmo JWT está fixo em HS256 (signWith HS256); sem mecanismo de troca em runtime.</t>
  </si>
  <si>
    <t>Primitivas com &gt;=128 bits de segurança: HS256 com chave &gt;=256 bits (hmacShaKeyFor exige-o), BCrypt, e AES via TLS.</t>
  </si>
  <si>
    <t>Operações em tempo constante via bibliotecas: BCryptPasswordEncoder.matches() e verificação HMAC do JJWT; sem comparações de segredos custom.</t>
  </si>
  <si>
    <t>Módulos cripto falham de forma segura (JJWT/Spring/JCE); GlobalExceptionHandler devolve erro genérico sem expor chaves ou algoritmos.</t>
  </si>
  <si>
    <t>Não há cifragem simétrica ao nível da aplicação (sem uso de Cipher/ECB); TLS é tratado pelo nginx.</t>
  </si>
  <si>
    <t>nginx usa TLS 1.2/1.3 mas sem ssl_ciphers explícito; TLS 1.3 é AEAD, mas o default de TLS 1.2 ainda permite cifras CBC — lista por restringir a AEAD.</t>
  </si>
  <si>
    <t>Não há dados cifrados em repouso na aplicação.</t>
  </si>
  <si>
    <t>Não há cifragem simétrica na aplicação, logo não há nonces/IVs a gerir.</t>
  </si>
  <si>
    <t>Funções de hash aprovadas: SHA-256 (HMAC HS256) e BCrypt; sem MD5. SHA-1 usado apenas no protocolo k-anonymity da API HIBP, não como controlo de segurança.</t>
  </si>
  <si>
    <t>Passwords guardadas com BCryptPasswordEncoder (função de hashing de password aprovada, key-stretching), conforme NFR02.</t>
  </si>
  <si>
    <t>Assinatura JWT usa HS256 (SHA-256, 256 bits) — resistente a colisões e com bit-length adequado.</t>
  </si>
  <si>
    <t>A aplicação não deriva chaves criptográficas a partir de passwords (além do hashing BCrypt coberto em V11.4.2).</t>
  </si>
  <si>
    <t>A aplicação não gera segredos não-adivinháveis (sem JTI, códigos de ativação ou tokens de reset); os externalId UUID são identificadores, não segredos, e a autorização baseia-se em ownership.</t>
  </si>
  <si>
    <t>Geração de aleatoriedade assenta em java.security.SecureRandom (ex.: salts BCrypt), concebido para uso concorrente sob carga.</t>
  </si>
  <si>
    <t>Algoritmo aprovado para assinatura/verificação (HMAC-SHA256); a aplicação não gera chaves RSA/EC vulneráveis.</t>
  </si>
  <si>
    <t>Troca de chaves via TLS 1.2/1.3 no nginx (ECDHE); sem DH estático fraco nem cifras export.</t>
  </si>
  <si>
    <t>Tokens e segredos não são registados em logs (V16.2.5); zerar passwords da memória não é feito (limitação de String em Java).</t>
  </si>
  <si>
    <t>nginx tem TLS 1.2/1.3 ativo, mas NÃO define ssl_ciphers explícito (usa o default). TLS 1.3 garante forward secrecy, mas o default de TLS 1.2 ainda permite cifras CBC e sem forward secrecy. Falta pinar a lista a cipher suites recomendados com forward secrecy.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</si>
</sst>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rgb="FF000000"/>
      <name val="Calibri"/>
      <family val="2"/>
      <charset val="1"/>
    </font>
    <font>
      <b/>
      <sz val="16"/>
      <color rgb="FFFFFFFF"/>
      <name val="Cambria"/>
      <family val="1"/>
    </font>
    <font>
      <i/>
      <sz val="10"/>
      <color rgb="FF595959"/>
      <name val="Cambria"/>
      <family val="1"/>
    </font>
    <font>
      <b/>
      <sz val="10"/>
      <name val="Cambria"/>
      <family val="1"/>
    </font>
    <font>
      <b/>
      <sz val="9"/>
      <name val="Cambria"/>
      <family val="1"/>
    </font>
    <font>
      <b/>
      <sz val="9"/>
      <color rgb="FFFFFFFF"/>
      <name val="Cambria"/>
      <family val="1"/>
    </font>
    <font>
      <sz val="10"/>
      <name val="Cambria"/>
      <family val="1"/>
    </font>
    <font>
      <b/>
      <sz val="11"/>
      <color rgb="FFFFFFFF"/>
      <name val="Cambria"/>
      <family val="1"/>
    </font>
    <font>
      <b/>
      <sz val="10"/>
      <color rgb="FFFFFFFF"/>
      <name val="Cambria"/>
      <family val="1"/>
    </font>
    <font>
      <b/>
      <sz val="10"/>
      <color rgb="FF1F3864"/>
      <name val="Cambria"/>
      <family val="1"/>
    </font>
    <font>
      <sz val="10"/>
      <color rgb="FFCCCCCC"/>
      <name val="Segoe UI"/>
      <family val="2"/>
    </font>
    <font>
      <sz val="10"/>
      <color rgb="FF000000"/>
      <name val="Segoe UI"/>
      <family val="2"/>
    </font>
    <font>
      <u/>
      <sz val="11"/>
      <color rgb="FF000000"/>
      <name val="Calibri"/>
      <family val="2"/>
      <charset val="1"/>
    </font>
  </fonts>
  <fills count="10">
    <fill>
      <patternFill patternType="none"/>
    </fill>
    <fill>
      <patternFill patternType="gray125"/>
    </fill>
    <fill>
      <patternFill patternType="solid">
        <fgColor rgb="FF1F3864"/>
        <bgColor rgb="FF333333"/>
      </patternFill>
    </fill>
    <fill>
      <patternFill patternType="solid">
        <fgColor rgb="FFFFFFFF"/>
        <bgColor rgb="FFF7FBFF"/>
      </patternFill>
    </fill>
    <fill>
      <patternFill patternType="solid">
        <fgColor rgb="FFF7FBFF"/>
        <bgColor rgb="FFFFFFFF"/>
      </patternFill>
    </fill>
    <fill>
      <patternFill patternType="solid">
        <fgColor rgb="FFD6E4F0"/>
        <bgColor rgb="FFC6EFCE"/>
      </patternFill>
    </fill>
    <fill>
      <patternFill patternType="solid">
        <fgColor rgb="FFFFEB9C"/>
        <bgColor rgb="FFF2F2F2"/>
      </patternFill>
    </fill>
    <fill>
      <patternFill patternType="solid">
        <fgColor rgb="FFF2F2F2"/>
        <bgColor rgb="FFF7FBFF"/>
      </patternFill>
    </fill>
    <fill>
      <patternFill patternType="solid">
        <fgColor rgb="FFC6EFCE"/>
        <bgColor rgb="FFD6E4F0"/>
      </patternFill>
    </fill>
    <fill>
      <patternFill patternType="solid">
        <fgColor rgb="FFFABF8F"/>
        <bgColor rgb="FFFFEB9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2">
    <xf numFmtId="0" fontId="0" fillId="0" borderId="0" xfId="0"/>
    <xf numFmtId="0" fontId="4" fillId="0" borderId="0" xfId="0" applyFont="1" applyAlignment="1">
      <alignment horizontal="center" vertical="center"/>
    </xf>
    <xf numFmtId="0" fontId="5" fillId="2" borderId="1" xfId="0" applyFont="1" applyFill="1" applyBorder="1" applyAlignment="1">
      <alignment horizontal="center" vertical="center" wrapText="1"/>
    </xf>
    <xf numFmtId="0" fontId="6" fillId="3" borderId="1" xfId="0" applyFont="1" applyFill="1" applyBorder="1" applyAlignment="1">
      <alignment horizontal="left" vertical="center"/>
    </xf>
    <xf numFmtId="0" fontId="6" fillId="3" borderId="1" xfId="0" applyFont="1" applyFill="1" applyBorder="1" applyAlignment="1">
      <alignment horizontal="center" vertical="center"/>
    </xf>
    <xf numFmtId="9" fontId="6" fillId="3" borderId="1" xfId="0" applyNumberFormat="1" applyFont="1" applyFill="1" applyBorder="1" applyAlignment="1">
      <alignment horizontal="center" vertical="center"/>
    </xf>
    <xf numFmtId="0" fontId="6" fillId="4" borderId="1" xfId="0" applyFont="1" applyFill="1" applyBorder="1" applyAlignment="1">
      <alignment horizontal="left" vertical="center"/>
    </xf>
    <xf numFmtId="0" fontId="6" fillId="4" borderId="1" xfId="0" applyFont="1" applyFill="1" applyBorder="1" applyAlignment="1">
      <alignment horizontal="center" vertical="center"/>
    </xf>
    <xf numFmtId="9" fontId="6" fillId="4" borderId="1" xfId="0" applyNumberFormat="1" applyFont="1" applyFill="1" applyBorder="1" applyAlignment="1">
      <alignment horizontal="center" vertical="center"/>
    </xf>
    <xf numFmtId="0" fontId="7" fillId="2" borderId="1" xfId="0" applyFont="1" applyFill="1" applyBorder="1"/>
    <xf numFmtId="0" fontId="8" fillId="2" borderId="1" xfId="0" applyFont="1" applyFill="1" applyBorder="1" applyAlignment="1">
      <alignment horizontal="center" vertical="center"/>
    </xf>
    <xf numFmtId="9" fontId="8" fillId="2" borderId="1" xfId="0" applyNumberFormat="1" applyFont="1" applyFill="1" applyBorder="1" applyAlignment="1">
      <alignment horizontal="center" vertical="center"/>
    </xf>
    <xf numFmtId="0" fontId="8" fillId="2" borderId="1" xfId="0" applyFont="1" applyFill="1" applyBorder="1" applyAlignment="1">
      <alignment horizontal="center" vertical="center" wrapText="1"/>
    </xf>
    <xf numFmtId="0" fontId="9" fillId="5" borderId="1" xfId="0" applyFont="1" applyFill="1" applyBorder="1" applyAlignment="1">
      <alignment horizontal="left" vertical="center"/>
    </xf>
    <xf numFmtId="0" fontId="0" fillId="3" borderId="1" xfId="0" applyFill="1" applyBorder="1"/>
    <xf numFmtId="0" fontId="0" fillId="3" borderId="1" xfId="0" applyFill="1" applyBorder="1" applyAlignment="1">
      <alignment horizontal="center" vertical="top"/>
    </xf>
    <xf numFmtId="0" fontId="0" fillId="3" borderId="1" xfId="0" applyFill="1" applyBorder="1" applyAlignment="1">
      <alignment horizontal="left" vertical="top" wrapText="1"/>
    </xf>
    <xf numFmtId="0" fontId="3" fillId="6" borderId="1" xfId="0" applyFont="1" applyFill="1" applyBorder="1" applyAlignment="1">
      <alignment horizontal="center" vertical="top"/>
    </xf>
    <xf numFmtId="0" fontId="0" fillId="7" borderId="1" xfId="0" applyFill="1" applyBorder="1" applyAlignment="1">
      <alignment horizontal="center" vertical="top"/>
    </xf>
    <xf numFmtId="0" fontId="0" fillId="4" borderId="1" xfId="0" applyFill="1" applyBorder="1"/>
    <xf numFmtId="0" fontId="0" fillId="4" borderId="1" xfId="0" applyFill="1" applyBorder="1" applyAlignment="1">
      <alignment horizontal="center" vertical="top"/>
    </xf>
    <xf numFmtId="0" fontId="0" fillId="4" borderId="1" xfId="0" applyFill="1" applyBorder="1" applyAlignment="1">
      <alignment horizontal="left" vertical="top" wrapText="1"/>
    </xf>
    <xf numFmtId="0" fontId="3" fillId="8" borderId="1" xfId="0" applyFont="1" applyFill="1" applyBorder="1" applyAlignment="1">
      <alignment horizontal="center" vertical="top"/>
    </xf>
    <xf numFmtId="0" fontId="3" fillId="9" borderId="1" xfId="0" applyFont="1" applyFill="1" applyBorder="1" applyAlignment="1">
      <alignment horizontal="center" vertical="top"/>
    </xf>
    <xf numFmtId="0" fontId="11" fillId="0" borderId="0" xfId="0" applyFont="1"/>
    <xf numFmtId="0" fontId="10" fillId="0" borderId="0" xfId="0" applyFont="1"/>
    <xf numFmtId="0" fontId="12" fillId="7" borderId="1" xfId="0" applyFont="1" applyFill="1" applyBorder="1" applyAlignment="1">
      <alignment horizontal="center" vertical="top"/>
    </xf>
    <xf numFmtId="0" fontId="12" fillId="0" borderId="0" xfId="0" applyFont="1"/>
    <xf numFmtId="0" fontId="1" fillId="2" borderId="0" xfId="0" applyFont="1" applyFill="1" applyAlignment="1">
      <alignment horizontal="center" vertical="center"/>
    </xf>
    <xf numFmtId="0" fontId="0" fillId="0" borderId="0" xfId="0"/>
    <xf numFmtId="0" fontId="3" fillId="0" borderId="0" xfId="0" applyFont="1"/>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F7FB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ABF8F"/>
      <rgbColor rgb="FF3366FF"/>
      <rgbColor rgb="FF33CCCC"/>
      <rgbColor rgb="FF99CC00"/>
      <rgbColor rgb="FFFFCC00"/>
      <rgbColor rgb="FFFF9900"/>
      <rgbColor rgb="FFFF6600"/>
      <rgbColor rgb="FF595959"/>
      <rgbColor rgb="FFB3B3B3"/>
      <rgbColor rgb="FF1F3864"/>
      <rgbColor rgb="FF579D1C"/>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1"/>
  <c:style val="2"/>
  <c:chart>
    <c:autoTitleDeleted val="1"/>
    <c:plotArea>
      <c:layout/>
      <c:barChart>
        <c:barDir val="bar"/>
        <c:grouping val="clustered"/>
        <c:varyColors val="0"/>
        <c:ser>
          <c:idx val="0"/>
          <c:order val="0"/>
          <c:tx>
            <c:strRef>
              <c:f>Summary!$E$5</c:f>
              <c:strCache>
                <c:ptCount val="1"/>
                <c:pt idx="0">
                  <c:v>L1
%</c:v>
                </c:pt>
              </c:strCache>
            </c:strRef>
          </c:tx>
          <c:spPr>
            <a:solidFill>
              <a:srgbClr val="C6EFCE"/>
            </a:solidFill>
            <a:ln>
              <a:noFill/>
              <a:prstDash val="solid"/>
            </a:ln>
          </c:spPr>
          <c:invertIfNegative val="0"/>
          <c:dLbls>
            <c:spPr>
              <a:noFill/>
              <a:ln>
                <a:noFill/>
                <a:prstDash val="solid"/>
              </a:ln>
            </c:spPr>
            <c:txPr>
              <a:bodyPr/>
              <a:lstStyle/>
              <a:p>
                <a:pPr>
                  <a:defRPr sz="1000" b="0" strike="noStrike" spc="-1">
                    <a:latin typeface="Arial"/>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Summary!$E$6:$E$22</c:f>
              <c:numCache>
                <c:formatCode>0%</c:formatCode>
                <c:ptCount val="17"/>
                <c:pt idx="0">
                  <c:v>0.125</c:v>
                </c:pt>
                <c:pt idx="1">
                  <c:v>0.5</c:v>
                </c:pt>
                <c:pt idx="2">
                  <c:v>0.5</c:v>
                </c:pt>
                <c:pt idx="3">
                  <c:v>0.5</c:v>
                </c:pt>
                <c:pt idx="4">
                  <c:v>0.5</c:v>
                </c:pt>
                <c:pt idx="5">
                  <c:v>0.61538461538461542</c:v>
                </c:pt>
                <c:pt idx="6">
                  <c:v>0.5</c:v>
                </c:pt>
                <c:pt idx="7">
                  <c:v>0.75</c:v>
                </c:pt>
                <c:pt idx="8">
                  <c:v>1</c:v>
                </c:pt>
                <c:pt idx="9">
                  <c:v>0</c:v>
                </c:pt>
                <c:pt idx="10">
                  <c:v>0.33333333333333331</c:v>
                </c:pt>
                <c:pt idx="11">
                  <c:v>0.66666666666666663</c:v>
                </c:pt>
                <c:pt idx="12">
                  <c:v>1</c:v>
                </c:pt>
                <c:pt idx="13">
                  <c:v>0</c:v>
                </c:pt>
                <c:pt idx="14">
                  <c:v>0.33333333333333331</c:v>
                </c:pt>
                <c:pt idx="15" formatCode="General">
                  <c:v>0</c:v>
                </c:pt>
                <c:pt idx="16" formatCode="General">
                  <c:v>0</c:v>
                </c:pt>
              </c:numCache>
            </c:numRef>
          </c:val>
          <c:extLst>
            <c:ext xmlns:c16="http://schemas.microsoft.com/office/drawing/2014/chart" uri="{C3380CC4-5D6E-409C-BE32-E72D297353CC}">
              <c16:uniqueId val="{00000000-7BED-4339-95F5-48325DB6EBCD}"/>
            </c:ext>
          </c:extLst>
        </c:ser>
        <c:ser>
          <c:idx val="1"/>
          <c:order val="1"/>
          <c:tx>
            <c:strRef>
              <c:f>Summary!$H$5</c:f>
              <c:strCache>
                <c:ptCount val="1"/>
                <c:pt idx="0">
                  <c:v>L2
%</c:v>
                </c:pt>
              </c:strCache>
            </c:strRef>
          </c:tx>
          <c:spPr>
            <a:solidFill>
              <a:srgbClr val="FFEB9C"/>
            </a:solidFill>
            <a:ln>
              <a:noFill/>
              <a:prstDash val="solid"/>
            </a:ln>
          </c:spPr>
          <c:invertIfNegative val="0"/>
          <c:dLbls>
            <c:spPr>
              <a:noFill/>
              <a:ln>
                <a:noFill/>
                <a:prstDash val="solid"/>
              </a:ln>
            </c:spPr>
            <c:txPr>
              <a:bodyPr/>
              <a:lstStyle/>
              <a:p>
                <a:pPr>
                  <a:defRPr sz="1000" b="0" strike="noStrike" spc="-1">
                    <a:latin typeface="Arial"/>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Summary!$H$6:$H$22</c:f>
              <c:numCache>
                <c:formatCode>0%</c:formatCode>
                <c:ptCount val="17"/>
                <c:pt idx="0">
                  <c:v>0</c:v>
                </c:pt>
                <c:pt idx="1">
                  <c:v>0.2857142857142857</c:v>
                </c:pt>
                <c:pt idx="2">
                  <c:v>9.0909090909090912E-2</c:v>
                </c:pt>
                <c:pt idx="3">
                  <c:v>0.125</c:v>
                </c:pt>
                <c:pt idx="4">
                  <c:v>0.4</c:v>
                </c:pt>
                <c:pt idx="5">
                  <c:v>0.18181818181818182</c:v>
                </c:pt>
                <c:pt idx="6">
                  <c:v>0.25</c:v>
                </c:pt>
                <c:pt idx="7">
                  <c:v>0.33333333333333331</c:v>
                </c:pt>
                <c:pt idx="8">
                  <c:v>0</c:v>
                </c:pt>
                <c:pt idx="9">
                  <c:v>0</c:v>
                </c:pt>
                <c:pt idx="10">
                  <c:v>0.45454545454545453</c:v>
                </c:pt>
                <c:pt idx="11">
                  <c:v>0</c:v>
                </c:pt>
                <c:pt idx="12">
                  <c:v>0.16666666666666666</c:v>
                </c:pt>
                <c:pt idx="13">
                  <c:v>0</c:v>
                </c:pt>
                <c:pt idx="14">
                  <c:v>0.2</c:v>
                </c:pt>
                <c:pt idx="15">
                  <c:v>0.375</c:v>
                </c:pt>
                <c:pt idx="16">
                  <c:v>0</c:v>
                </c:pt>
              </c:numCache>
            </c:numRef>
          </c:val>
          <c:extLst>
            <c:ext xmlns:c16="http://schemas.microsoft.com/office/drawing/2014/chart" uri="{C3380CC4-5D6E-409C-BE32-E72D297353CC}">
              <c16:uniqueId val="{00000001-7BED-4339-95F5-48325DB6EBCD}"/>
            </c:ext>
          </c:extLst>
        </c:ser>
        <c:ser>
          <c:idx val="2"/>
          <c:order val="2"/>
          <c:tx>
            <c:strRef>
              <c:f>Summary!$K$5</c:f>
              <c:strCache>
                <c:ptCount val="1"/>
                <c:pt idx="0">
                  <c:v>L3
%</c:v>
                </c:pt>
              </c:strCache>
            </c:strRef>
          </c:tx>
          <c:spPr>
            <a:solidFill>
              <a:srgbClr val="FABF8F"/>
            </a:solidFill>
            <a:ln>
              <a:noFill/>
              <a:prstDash val="solid"/>
            </a:ln>
          </c:spPr>
          <c:invertIfNegative val="0"/>
          <c:dLbls>
            <c:spPr>
              <a:noFill/>
              <a:ln>
                <a:noFill/>
                <a:prstDash val="solid"/>
              </a:ln>
            </c:spPr>
            <c:txPr>
              <a:bodyPr/>
              <a:lstStyle/>
              <a:p>
                <a:pPr>
                  <a:defRPr sz="1000" b="0" strike="noStrike" spc="-1">
                    <a:latin typeface="Arial"/>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Summary!$K$6:$K$21</c:f>
              <c:numCache>
                <c:formatCode>0%</c:formatCode>
                <c:ptCount val="16"/>
                <c:pt idx="0">
                  <c:v>0.33333333333333331</c:v>
                </c:pt>
                <c:pt idx="1">
                  <c:v>0</c:v>
                </c:pt>
                <c:pt idx="2">
                  <c:v>0</c:v>
                </c:pt>
                <c:pt idx="3">
                  <c:v>0.83333333333333337</c:v>
                </c:pt>
                <c:pt idx="4">
                  <c:v>0</c:v>
                </c:pt>
                <c:pt idx="5">
                  <c:v>8.3333333333333329E-2</c:v>
                </c:pt>
                <c:pt idx="6">
                  <c:v>0</c:v>
                </c:pt>
                <c:pt idx="7">
                  <c:v>0.16666666666666666</c:v>
                </c:pt>
                <c:pt idx="8" formatCode="General">
                  <c:v>0</c:v>
                </c:pt>
                <c:pt idx="9">
                  <c:v>0</c:v>
                </c:pt>
                <c:pt idx="10">
                  <c:v>0.4</c:v>
                </c:pt>
                <c:pt idx="11">
                  <c:v>0</c:v>
                </c:pt>
                <c:pt idx="12">
                  <c:v>0</c:v>
                </c:pt>
                <c:pt idx="13">
                  <c:v>0</c:v>
                </c:pt>
                <c:pt idx="14">
                  <c:v>0</c:v>
                </c:pt>
                <c:pt idx="15">
                  <c:v>1</c:v>
                </c:pt>
              </c:numCache>
            </c:numRef>
          </c:val>
          <c:extLst>
            <c:ext xmlns:c16="http://schemas.microsoft.com/office/drawing/2014/chart" uri="{C3380CC4-5D6E-409C-BE32-E72D297353CC}">
              <c16:uniqueId val="{00000002-7BED-4339-95F5-48325DB6EBCD}"/>
            </c:ext>
          </c:extLst>
        </c:ser>
        <c:ser>
          <c:idx val="3"/>
          <c:order val="3"/>
          <c:tx>
            <c:strRef>
              <c:f>Summary!$M$5</c:f>
              <c:strCache>
                <c:ptCount val="1"/>
                <c:pt idx="0">
                  <c:v>Overall
%</c:v>
                </c:pt>
              </c:strCache>
            </c:strRef>
          </c:tx>
          <c:spPr>
            <a:solidFill>
              <a:srgbClr val="579D1C"/>
            </a:solidFill>
            <a:ln>
              <a:noFill/>
              <a:prstDash val="solid"/>
            </a:ln>
          </c:spPr>
          <c:invertIfNegative val="0"/>
          <c:dLbls>
            <c:spPr>
              <a:noFill/>
              <a:ln>
                <a:noFill/>
                <a:prstDash val="solid"/>
              </a:ln>
            </c:spPr>
            <c:txPr>
              <a:bodyPr/>
              <a:lstStyle/>
              <a:p>
                <a:pPr>
                  <a:defRPr sz="1000" b="0" strike="noStrike" spc="-1">
                    <a:latin typeface="Arial"/>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Summary!$M$6:$M$22</c:f>
              <c:numCache>
                <c:formatCode>0%</c:formatCode>
                <c:ptCount val="17"/>
                <c:pt idx="0">
                  <c:v>6.6666666666666666E-2</c:v>
                </c:pt>
                <c:pt idx="1">
                  <c:v>0.30769230769230771</c:v>
                </c:pt>
                <c:pt idx="2">
                  <c:v>0.16129032258064516</c:v>
                </c:pt>
                <c:pt idx="3">
                  <c:v>0.4375</c:v>
                </c:pt>
                <c:pt idx="4">
                  <c:v>0.30769230769230771</c:v>
                </c:pt>
                <c:pt idx="5">
                  <c:v>0.27659574468085107</c:v>
                </c:pt>
                <c:pt idx="6">
                  <c:v>0.31578947368421051</c:v>
                </c:pt>
                <c:pt idx="7">
                  <c:v>0.38461538461538464</c:v>
                </c:pt>
                <c:pt idx="8">
                  <c:v>0.5714285714285714</c:v>
                </c:pt>
                <c:pt idx="9">
                  <c:v>0</c:v>
                </c:pt>
                <c:pt idx="10">
                  <c:v>0.41666666666666669</c:v>
                </c:pt>
                <c:pt idx="11">
                  <c:v>0.16666666666666666</c:v>
                </c:pt>
                <c:pt idx="12">
                  <c:v>0.14285714285714285</c:v>
                </c:pt>
                <c:pt idx="13">
                  <c:v>0</c:v>
                </c:pt>
                <c:pt idx="14">
                  <c:v>0.14285714285714285</c:v>
                </c:pt>
                <c:pt idx="15">
                  <c:v>0.41176470588235292</c:v>
                </c:pt>
                <c:pt idx="16">
                  <c:v>0</c:v>
                </c:pt>
              </c:numCache>
            </c:numRef>
          </c:val>
          <c:extLst>
            <c:ext xmlns:c16="http://schemas.microsoft.com/office/drawing/2014/chart" uri="{C3380CC4-5D6E-409C-BE32-E72D297353CC}">
              <c16:uniqueId val="{00000003-7BED-4339-95F5-48325DB6EBCD}"/>
            </c:ext>
          </c:extLst>
        </c:ser>
        <c:dLbls>
          <c:showLegendKey val="0"/>
          <c:showVal val="0"/>
          <c:showCatName val="0"/>
          <c:showSerName val="0"/>
          <c:showPercent val="0"/>
          <c:showBubbleSize val="0"/>
        </c:dLbls>
        <c:gapWidth val="100"/>
        <c:axId val="28005530"/>
        <c:axId val="73737639"/>
      </c:barChart>
      <c:catAx>
        <c:axId val="28005530"/>
        <c:scaling>
          <c:orientation val="minMax"/>
        </c:scaling>
        <c:delete val="0"/>
        <c:axPos val="l"/>
        <c:numFmt formatCode="General" sourceLinked="1"/>
        <c:majorTickMark val="out"/>
        <c:minorTickMark val="none"/>
        <c:tickLblPos val="nextTo"/>
        <c:spPr>
          <a:ln>
            <a:solidFill>
              <a:srgbClr val="B3B3B3"/>
            </a:solidFill>
            <a:prstDash val="solid"/>
          </a:ln>
        </c:spPr>
        <c:txPr>
          <a:bodyPr/>
          <a:lstStyle/>
          <a:p>
            <a:pPr>
              <a:defRPr sz="1000" b="0" strike="noStrike" spc="-1">
                <a:latin typeface="Arial"/>
              </a:defRPr>
            </a:pPr>
            <a:endParaRPr lang="en-US"/>
          </a:p>
        </c:txPr>
        <c:crossAx val="73737639"/>
        <c:crosses val="autoZero"/>
        <c:auto val="1"/>
        <c:lblAlgn val="ctr"/>
        <c:lblOffset val="100"/>
        <c:noMultiLvlLbl val="0"/>
      </c:catAx>
      <c:valAx>
        <c:axId val="73737639"/>
        <c:scaling>
          <c:orientation val="minMax"/>
        </c:scaling>
        <c:delete val="0"/>
        <c:axPos val="b"/>
        <c:majorGridlines>
          <c:spPr>
            <a:ln>
              <a:solidFill>
                <a:srgbClr val="B3B3B3"/>
              </a:solidFill>
              <a:prstDash val="solid"/>
            </a:ln>
          </c:spPr>
        </c:majorGridlines>
        <c:numFmt formatCode="0%" sourceLinked="0"/>
        <c:majorTickMark val="out"/>
        <c:minorTickMark val="none"/>
        <c:tickLblPos val="nextTo"/>
        <c:spPr>
          <a:ln>
            <a:solidFill>
              <a:srgbClr val="B3B3B3"/>
            </a:solidFill>
            <a:prstDash val="solid"/>
          </a:ln>
        </c:spPr>
        <c:txPr>
          <a:bodyPr/>
          <a:lstStyle/>
          <a:p>
            <a:pPr>
              <a:defRPr sz="1000" b="0" strike="noStrike" spc="-1">
                <a:latin typeface="Arial"/>
              </a:defRPr>
            </a:pPr>
            <a:endParaRPr lang="en-US"/>
          </a:p>
        </c:txPr>
        <c:crossAx val="28005530"/>
        <c:crosses val="autoZero"/>
        <c:crossBetween val="between"/>
      </c:valAx>
    </c:plotArea>
    <c:legend>
      <c:legendPos val="r"/>
      <c:overlay val="0"/>
      <c:spPr>
        <a:noFill/>
        <a:ln>
          <a:noFill/>
          <a:prstDash val="solid"/>
        </a:ln>
      </c:spPr>
      <c:txPr>
        <a:bodyPr/>
        <a:lstStyle/>
        <a:p>
          <a:pPr>
            <a:defRPr sz="1000" b="0" strike="noStrike" spc="-1">
              <a:latin typeface="Arial"/>
            </a:defRPr>
          </a:pPr>
          <a:endParaRPr lang="en-US"/>
        </a:p>
      </c:txPr>
    </c:legend>
    <c:plotVisOnly val="1"/>
    <c:dispBlanksAs val="gap"/>
    <c:showDLblsOverMax val="1"/>
  </c:chart>
  <c:spPr>
    <a:solidFill>
      <a:srgbClr val="FFFFFF"/>
    </a:solidFill>
    <a:ln w="9360">
      <a:no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38880</xdr:colOff>
      <xdr:row>24</xdr:row>
      <xdr:rowOff>10440</xdr:rowOff>
    </xdr:from>
    <xdr:to>
      <xdr:col>12</xdr:col>
      <xdr:colOff>857520</xdr:colOff>
      <xdr:row>47</xdr:row>
      <xdr:rowOff>56880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350" row="1">
    <wetp:webextensionref xmlns:r="http://schemas.openxmlformats.org/officeDocument/2006/relationships" r:id="rId2"/>
  </wetp:taskpane>
</wetp:taskpanes>
</file>

<file path=xl/webextensions/webextension1.xml><?xml version="1.0" encoding="utf-8"?>
<we:webextension xmlns:we="http://schemas.microsoft.com/office/webextensions/webextension/2010/11" id="{E0DCE81B-575E-43B1-86AD-27767B838BD3}">
  <we:reference id="11d7cf85-ae5a-43b8-bc58-1e1a151cce24" version="1.0.0.1" store="EXCatalog" storeType="EXCatalog"/>
  <we:alternateReferences>
    <we:reference id="WA200010725" version="1.0.0.1" store="pt-PT" storeType="OMEX"/>
  </we:alternateReferences>
  <we:properties>
    <we:property name="claude.fileId" value="&quot;e6831ce1-3bbf-4325-9c8d-2238c0479a70&quot;"/>
  </we:properties>
  <we:bindings/>
  <we:snapshot xmlns:r="http://schemas.openxmlformats.org/officeDocument/2006/relationships"/>
</we:webextension>
</file>

<file path=xl/webextensions/webextension2.xml><?xml version="1.0" encoding="utf-8"?>
<we:webextension xmlns:we="http://schemas.microsoft.com/office/webextensions/webextension/2010/11" id="{423A19AB-7547-4125-9F55-A3015B071A82}">
  <we:reference id="44446093-b465-4d6c-a6dc-5faf6de98677" version="3.0.0.4" store="EXCatalog" storeType="EXCatalog"/>
  <we:alternateReferences>
    <we:reference id="WA200005271" version="3.0.0.4" store="pt-PT"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s>_xldudf_AI_WEB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3"/>
  <sheetViews>
    <sheetView showGridLines="0" zoomScale="75" zoomScaleNormal="75" workbookViewId="0">
      <selection activeCell="S40" sqref="S40"/>
    </sheetView>
  </sheetViews>
  <sheetFormatPr defaultColWidth="8.42578125" defaultRowHeight="15" x14ac:dyDescent="0.25"/>
  <cols>
    <col min="1" max="1" width="34" customWidth="1"/>
    <col min="2" max="13" width="11" customWidth="1"/>
  </cols>
  <sheetData>
    <row r="1" spans="1:16" ht="36" customHeight="1" x14ac:dyDescent="0.25">
      <c r="A1" s="28" t="s">
        <v>85</v>
      </c>
      <c r="B1" s="29"/>
      <c r="C1" s="29"/>
      <c r="D1" s="29"/>
      <c r="E1" s="29"/>
      <c r="F1" s="29"/>
      <c r="G1" s="29"/>
      <c r="H1" s="29"/>
      <c r="I1" s="29"/>
      <c r="J1" s="29"/>
      <c r="K1" s="29"/>
      <c r="L1" s="29"/>
      <c r="M1" s="29"/>
      <c r="N1" s="29"/>
      <c r="O1" s="29"/>
      <c r="P1" s="29"/>
    </row>
    <row r="2" spans="1:16" ht="20.100000000000001" customHeight="1" x14ac:dyDescent="0.25">
      <c r="A2" s="31"/>
      <c r="B2" s="29"/>
      <c r="C2" s="29"/>
      <c r="D2" s="29"/>
      <c r="E2" s="29"/>
      <c r="F2" s="29"/>
      <c r="G2" s="29"/>
      <c r="H2" s="29"/>
      <c r="I2" s="29"/>
      <c r="J2" s="29"/>
      <c r="K2" s="29"/>
      <c r="L2" s="29"/>
      <c r="M2" s="29"/>
      <c r="N2" s="29"/>
      <c r="O2" s="29"/>
      <c r="P2" s="29"/>
    </row>
    <row r="3" spans="1:16" ht="18" customHeight="1" x14ac:dyDescent="0.25">
      <c r="A3" s="30"/>
      <c r="B3" s="29"/>
      <c r="C3" s="1"/>
      <c r="E3" s="1"/>
      <c r="G3" s="1"/>
      <c r="I3" s="1"/>
      <c r="K3" s="1"/>
      <c r="M3" s="1"/>
      <c r="O3" s="1"/>
    </row>
    <row r="5" spans="1:16" ht="32.1" customHeight="1" x14ac:dyDescent="0.25">
      <c r="A5" s="2" t="s">
        <v>86</v>
      </c>
      <c r="B5" s="2" t="s">
        <v>87</v>
      </c>
      <c r="C5" s="2" t="s">
        <v>88</v>
      </c>
      <c r="D5" s="2" t="s">
        <v>89</v>
      </c>
      <c r="E5" s="2" t="s">
        <v>90</v>
      </c>
      <c r="F5" s="2" t="s">
        <v>91</v>
      </c>
      <c r="G5" s="2" t="s">
        <v>92</v>
      </c>
      <c r="H5" s="2" t="s">
        <v>93</v>
      </c>
      <c r="I5" s="2" t="s">
        <v>94</v>
      </c>
      <c r="J5" s="2" t="s">
        <v>95</v>
      </c>
      <c r="K5" s="2" t="s">
        <v>96</v>
      </c>
      <c r="L5" s="2" t="s">
        <v>97</v>
      </c>
      <c r="M5" s="2" t="s">
        <v>98</v>
      </c>
    </row>
    <row r="6" spans="1:16" ht="18" customHeight="1" x14ac:dyDescent="0.25">
      <c r="A6" s="3" t="s">
        <v>99</v>
      </c>
      <c r="B6" s="4">
        <v>30</v>
      </c>
      <c r="C6" s="4">
        <v>8</v>
      </c>
      <c r="D6" s="4">
        <f>COUNTIFS('V1 - Encoding and Sanitization'!$F$2:$F$36,"Compliant",'V1 - Encoding and Sanitization'!$E$2:$E$36,1)</f>
        <v>1</v>
      </c>
      <c r="E6" s="5">
        <f t="shared" ref="E6:E20" si="0">IF(C6=0,"",D6/C6)</f>
        <v>0.125</v>
      </c>
      <c r="F6" s="4">
        <v>19</v>
      </c>
      <c r="G6" s="4">
        <f>COUNTIFS('V1 - Encoding and Sanitization'!$F$2:$F$36,"Compliant",'V1 - Encoding and Sanitization'!$E$2:$E$36,2)</f>
        <v>0</v>
      </c>
      <c r="H6" s="5">
        <f t="shared" ref="H6:H22" si="1">IF(F6=0,"",G6/F6)</f>
        <v>0</v>
      </c>
      <c r="I6" s="4">
        <v>3</v>
      </c>
      <c r="J6" s="4">
        <f>COUNTIFS('V1 - Encoding and Sanitization'!$F$2:$F$36,"Compliant",'V1 - Encoding and Sanitization'!$E$2:$E$36,3)</f>
        <v>1</v>
      </c>
      <c r="K6" s="5">
        <f t="shared" ref="K6:K13" si="2">IF(I6=0,"",J6/I6)</f>
        <v>0.33333333333333331</v>
      </c>
      <c r="L6" s="4">
        <f>COUNTIF('V1 - Encoding and Sanitization'!$F$2:$F$36,"Compliant")</f>
        <v>2</v>
      </c>
      <c r="M6" s="5">
        <f t="shared" ref="M6:M22" si="3">IF(B6=0,"",L6/B6)</f>
        <v>6.6666666666666666E-2</v>
      </c>
    </row>
    <row r="7" spans="1:16" ht="18" customHeight="1" x14ac:dyDescent="0.25">
      <c r="A7" s="6" t="s">
        <v>100</v>
      </c>
      <c r="B7" s="7">
        <v>13</v>
      </c>
      <c r="C7" s="7">
        <v>4</v>
      </c>
      <c r="D7" s="7">
        <f>COUNTIFS('V2 - Validation and Business Lo'!$F$2:$F$18,"Compliant",'V2 - Validation and Business Lo'!$E$2:$E$18,1)</f>
        <v>2</v>
      </c>
      <c r="E7" s="8">
        <f t="shared" si="0"/>
        <v>0.5</v>
      </c>
      <c r="F7" s="7">
        <v>7</v>
      </c>
      <c r="G7" s="7">
        <f>COUNTIFS('V2 - Validation and Business Lo'!$F$2:$F$18,"Compliant",'V2 - Validation and Business Lo'!$E$2:$E$18,2)</f>
        <v>2</v>
      </c>
      <c r="H7" s="8">
        <f t="shared" si="1"/>
        <v>0.2857142857142857</v>
      </c>
      <c r="I7" s="7">
        <v>2</v>
      </c>
      <c r="J7" s="7">
        <f>COUNTIFS('V2 - Validation and Business Lo'!$F$2:$F$18,"Compliant",'V2 - Validation and Business Lo'!$E$2:$E$18,3)</f>
        <v>0</v>
      </c>
      <c r="K7" s="8">
        <f t="shared" si="2"/>
        <v>0</v>
      </c>
      <c r="L7" s="7">
        <f>COUNTIF('V2 - Validation and Business Lo'!$F$2:$F$18,"Compliant")</f>
        <v>4</v>
      </c>
      <c r="M7" s="8">
        <f t="shared" si="3"/>
        <v>0.30769230769230771</v>
      </c>
    </row>
    <row r="8" spans="1:16" ht="18" customHeight="1" x14ac:dyDescent="0.25">
      <c r="A8" s="3" t="s">
        <v>101</v>
      </c>
      <c r="B8" s="4">
        <v>31</v>
      </c>
      <c r="C8" s="4">
        <v>8</v>
      </c>
      <c r="D8" s="4">
        <f>COUNTIFS('V3 - Web Frontend Security'!$F$2:$F$39,"Compliant",'V3 - Web Frontend Security'!$E$2:$E$39,1)</f>
        <v>4</v>
      </c>
      <c r="E8" s="5">
        <f t="shared" si="0"/>
        <v>0.5</v>
      </c>
      <c r="F8" s="4">
        <v>11</v>
      </c>
      <c r="G8" s="4">
        <f>COUNTIFS('V3 - Web Frontend Security'!$F$2:$F$39,"Compliant",'V3 - Web Frontend Security'!$E$2:$E$39,2)</f>
        <v>1</v>
      </c>
      <c r="H8" s="5">
        <f t="shared" si="1"/>
        <v>9.0909090909090912E-2</v>
      </c>
      <c r="I8" s="4">
        <v>12</v>
      </c>
      <c r="J8" s="4">
        <f>COUNTIFS('V3 - Web Frontend Security'!$F$2:$F$39,"Compliant",'V3 - Web Frontend Security'!$E$2:$E$39,3)</f>
        <v>0</v>
      </c>
      <c r="K8" s="5">
        <f t="shared" si="2"/>
        <v>0</v>
      </c>
      <c r="L8" s="4">
        <f>COUNTIF('V3 - Web Frontend Security'!$F$2:$F$39,"Compliant")</f>
        <v>5</v>
      </c>
      <c r="M8" s="5">
        <f t="shared" si="3"/>
        <v>0.16129032258064516</v>
      </c>
    </row>
    <row r="9" spans="1:16" ht="18" customHeight="1" x14ac:dyDescent="0.25">
      <c r="A9" s="6" t="s">
        <v>102</v>
      </c>
      <c r="B9" s="7">
        <v>16</v>
      </c>
      <c r="C9" s="7">
        <v>2</v>
      </c>
      <c r="D9" s="7">
        <f>COUNTIFS('V4 - API and Web Service'!$F$2:$F$21,"Compliant",'V4 - API and Web Service'!$E$2:$E$21,1)</f>
        <v>1</v>
      </c>
      <c r="E9" s="8">
        <f t="shared" si="0"/>
        <v>0.5</v>
      </c>
      <c r="F9" s="7">
        <v>8</v>
      </c>
      <c r="G9" s="7">
        <f>COUNTIFS('V4 - API and Web Service'!$F$2:$F$21,"Compliant",'V4 - API and Web Service'!$E$2:$E$21,2)</f>
        <v>1</v>
      </c>
      <c r="H9" s="8">
        <f t="shared" si="1"/>
        <v>0.125</v>
      </c>
      <c r="I9" s="7">
        <v>6</v>
      </c>
      <c r="J9" s="7">
        <f>COUNTIFS('V4 - API and Web Service'!$F$2:$F$21,"Compliant",'V4 - API and Web Service'!$E$2:$E$21,3)</f>
        <v>5</v>
      </c>
      <c r="K9" s="8">
        <f t="shared" si="2"/>
        <v>0.83333333333333337</v>
      </c>
      <c r="L9" s="7">
        <f>COUNTIF('V4 - API and Web Service'!$F$2:$F$21,"Compliant")</f>
        <v>7</v>
      </c>
      <c r="M9" s="8">
        <f t="shared" si="3"/>
        <v>0.4375</v>
      </c>
    </row>
    <row r="10" spans="1:16" ht="18" customHeight="1" x14ac:dyDescent="0.25">
      <c r="A10" s="3" t="s">
        <v>103</v>
      </c>
      <c r="B10" s="4">
        <v>13</v>
      </c>
      <c r="C10" s="4">
        <v>4</v>
      </c>
      <c r="D10" s="4">
        <f>COUNTIFS('V5 - File Handling'!$F$2:$F$18,"Compliant",'V5 - File Handling'!$E$2:$E$18,1)</f>
        <v>2</v>
      </c>
      <c r="E10" s="5">
        <f t="shared" si="0"/>
        <v>0.5</v>
      </c>
      <c r="F10" s="4">
        <v>5</v>
      </c>
      <c r="G10" s="4">
        <f>COUNTIFS('V5 - File Handling'!$F$2:$F$18,"Compliant",'V5 - File Handling'!$E$2:$E$18,2)</f>
        <v>2</v>
      </c>
      <c r="H10" s="5">
        <f t="shared" si="1"/>
        <v>0.4</v>
      </c>
      <c r="I10" s="4">
        <v>4</v>
      </c>
      <c r="J10" s="4">
        <f>COUNTIFS('V5 - File Handling'!$F$2:$F$18,"Compliant",'V5 - File Handling'!$E$2:$E$18,3)</f>
        <v>0</v>
      </c>
      <c r="K10" s="5">
        <f t="shared" si="2"/>
        <v>0</v>
      </c>
      <c r="L10" s="4">
        <f>COUNTIF('V5 - File Handling'!$F$2:$F$18,"Compliant")</f>
        <v>4</v>
      </c>
      <c r="M10" s="5">
        <f t="shared" si="3"/>
        <v>0.30769230769230771</v>
      </c>
    </row>
    <row r="11" spans="1:16" ht="18" customHeight="1" x14ac:dyDescent="0.25">
      <c r="A11" s="6" t="s">
        <v>104</v>
      </c>
      <c r="B11" s="7">
        <v>47</v>
      </c>
      <c r="C11" s="7">
        <v>13</v>
      </c>
      <c r="D11" s="7">
        <f>COUNTIFS('V6 - Authentication'!$F$2:$F$56,"Compliant",'V6 - Authentication'!$E$2:$E$56,1)</f>
        <v>8</v>
      </c>
      <c r="E11" s="8">
        <f t="shared" si="0"/>
        <v>0.61538461538461542</v>
      </c>
      <c r="F11" s="7">
        <v>22</v>
      </c>
      <c r="G11" s="7">
        <f>COUNTIFS('V6 - Authentication'!$F$2:$F$56,"Compliant",'V6 - Authentication'!$E$2:$E$56,2)</f>
        <v>4</v>
      </c>
      <c r="H11" s="8">
        <f t="shared" si="1"/>
        <v>0.18181818181818182</v>
      </c>
      <c r="I11" s="7">
        <v>12</v>
      </c>
      <c r="J11" s="7">
        <f>COUNTIFS('V6 - Authentication'!$F$2:$F$56,"Compliant",'V6 - Authentication'!$E$2:$E$56,3)</f>
        <v>1</v>
      </c>
      <c r="K11" s="8">
        <f t="shared" si="2"/>
        <v>8.3333333333333329E-2</v>
      </c>
      <c r="L11" s="7">
        <f>COUNTIF('V6 - Authentication'!$F$2:$F$56,"Compliant")</f>
        <v>13</v>
      </c>
      <c r="M11" s="8">
        <f t="shared" si="3"/>
        <v>0.27659574468085107</v>
      </c>
    </row>
    <row r="12" spans="1:16" ht="18" customHeight="1" x14ac:dyDescent="0.25">
      <c r="A12" s="3" t="s">
        <v>105</v>
      </c>
      <c r="B12" s="4">
        <v>19</v>
      </c>
      <c r="C12" s="4">
        <v>6</v>
      </c>
      <c r="D12" s="4">
        <f>COUNTIFS('V7 - Session Management'!$F$2:$F$26,"Compliant",'V7 - Session Management'!$E$2:$E$26,1)</f>
        <v>3</v>
      </c>
      <c r="E12" s="5">
        <f t="shared" si="0"/>
        <v>0.5</v>
      </c>
      <c r="F12" s="4">
        <v>12</v>
      </c>
      <c r="G12" s="4">
        <f>COUNTIFS('V7 - Session Management'!$F$2:$F$26,"Compliant",'V7 - Session Management'!$E$2:$E$26,2)</f>
        <v>3</v>
      </c>
      <c r="H12" s="5">
        <f t="shared" si="1"/>
        <v>0.25</v>
      </c>
      <c r="I12" s="4">
        <v>1</v>
      </c>
      <c r="J12" s="4">
        <f>COUNTIFS('V7 - Session Management'!$F$2:$F$26,"Compliant",'V7 - Session Management'!$E$2:$E$26,3)</f>
        <v>0</v>
      </c>
      <c r="K12" s="5">
        <f t="shared" si="2"/>
        <v>0</v>
      </c>
      <c r="L12" s="4">
        <f>COUNTIF('V7 - Session Management'!$F$2:$F$26,"Compliant")</f>
        <v>6</v>
      </c>
      <c r="M12" s="5">
        <f t="shared" si="3"/>
        <v>0.31578947368421051</v>
      </c>
    </row>
    <row r="13" spans="1:16" ht="18" customHeight="1" x14ac:dyDescent="0.25">
      <c r="A13" s="6" t="s">
        <v>106</v>
      </c>
      <c r="B13" s="7">
        <v>13</v>
      </c>
      <c r="C13" s="7">
        <v>4</v>
      </c>
      <c r="D13" s="7">
        <f>COUNTIFS('V8 - Authorization'!$F$2:$F$18,"Compliant",'V8 - Authorization'!$E$2:$E$18,1)</f>
        <v>3</v>
      </c>
      <c r="E13" s="8">
        <f t="shared" si="0"/>
        <v>0.75</v>
      </c>
      <c r="F13" s="7">
        <v>3</v>
      </c>
      <c r="G13" s="7">
        <f>COUNTIFS('V8 - Authorization'!$F$2:$F$18,"Compliant",'V8 - Authorization'!$E$2:$E$18,2)</f>
        <v>1</v>
      </c>
      <c r="H13" s="8">
        <f t="shared" si="1"/>
        <v>0.33333333333333331</v>
      </c>
      <c r="I13" s="7">
        <v>6</v>
      </c>
      <c r="J13" s="7">
        <f>COUNTIFS('V8 - Authorization'!$F$2:$F$18,"Compliant",'V8 - Authorization'!$E$2:$E$18,3)</f>
        <v>1</v>
      </c>
      <c r="K13" s="8">
        <f t="shared" si="2"/>
        <v>0.16666666666666666</v>
      </c>
      <c r="L13" s="7">
        <f>COUNTIF('V8 - Authorization'!$F$2:$F$18,"Compliant")</f>
        <v>5</v>
      </c>
      <c r="M13" s="8">
        <f t="shared" si="3"/>
        <v>0.38461538461538464</v>
      </c>
    </row>
    <row r="14" spans="1:16" ht="18" customHeight="1" x14ac:dyDescent="0.25">
      <c r="A14" s="3" t="s">
        <v>107</v>
      </c>
      <c r="B14" s="4">
        <v>7</v>
      </c>
      <c r="C14" s="4">
        <v>4</v>
      </c>
      <c r="D14" s="4">
        <f>COUNTIFS('V9 - Self-contained Tokens'!$F$2:$F$10,"Compliant",'V9 - Self-contained Tokens'!$E$2:$E$10,1)</f>
        <v>4</v>
      </c>
      <c r="E14" s="5">
        <f t="shared" si="0"/>
        <v>1</v>
      </c>
      <c r="F14" s="4">
        <v>3</v>
      </c>
      <c r="G14" s="4">
        <f>COUNTIFS('V9 - Self-contained Tokens'!$F$2:$F$10,"Compliant",'V9 - Self-contained Tokens'!$E$2:$E$10,2)</f>
        <v>0</v>
      </c>
      <c r="H14" s="5">
        <f t="shared" si="1"/>
        <v>0</v>
      </c>
      <c r="I14" s="4">
        <v>0</v>
      </c>
      <c r="J14" s="4" t="s">
        <v>108</v>
      </c>
      <c r="K14" s="4" t="s">
        <v>108</v>
      </c>
      <c r="L14" s="4">
        <f>COUNTIF('V9 - Self-contained Tokens'!$F$2:$F$10,"Compliant")</f>
        <v>4</v>
      </c>
      <c r="M14" s="5">
        <f t="shared" si="3"/>
        <v>0.5714285714285714</v>
      </c>
    </row>
    <row r="15" spans="1:16" ht="18" customHeight="1" x14ac:dyDescent="0.25">
      <c r="A15" s="6" t="s">
        <v>109</v>
      </c>
      <c r="B15" s="7">
        <v>36</v>
      </c>
      <c r="C15" s="7">
        <v>5</v>
      </c>
      <c r="D15" s="7">
        <f>COUNTIFS('V10 - OAuth and OIDC'!$F$2:$F$44,"Compliant",'V10 - OAuth and OIDC'!$E$2:$E$44,1)</f>
        <v>0</v>
      </c>
      <c r="E15" s="8">
        <f t="shared" si="0"/>
        <v>0</v>
      </c>
      <c r="F15" s="7">
        <v>24</v>
      </c>
      <c r="G15" s="7">
        <f>COUNTIFS('V10 - OAuth and OIDC'!$F$2:$F$44,"Compliant",'V10 - OAuth and OIDC'!$E$2:$E$44,2)</f>
        <v>0</v>
      </c>
      <c r="H15" s="8">
        <f t="shared" si="1"/>
        <v>0</v>
      </c>
      <c r="I15" s="7">
        <v>7</v>
      </c>
      <c r="J15" s="7">
        <f>COUNTIFS('V10 - OAuth and OIDC'!$F$2:$F$44,"Compliant",'V10 - OAuth and OIDC'!$E$2:$E$44,3)</f>
        <v>0</v>
      </c>
      <c r="K15" s="8">
        <f t="shared" ref="K15:K22" si="4">IF(I15=0,"",J15/I15)</f>
        <v>0</v>
      </c>
      <c r="L15" s="7">
        <f>COUNTIF('V10 - OAuth and OIDC'!$F$2:$F$44,"Compliant")</f>
        <v>0</v>
      </c>
      <c r="M15" s="8">
        <f t="shared" si="3"/>
        <v>0</v>
      </c>
    </row>
    <row r="16" spans="1:16" ht="18" customHeight="1" x14ac:dyDescent="0.25">
      <c r="A16" s="3" t="s">
        <v>110</v>
      </c>
      <c r="B16" s="4">
        <v>24</v>
      </c>
      <c r="C16" s="4">
        <v>3</v>
      </c>
      <c r="D16" s="4">
        <f>COUNTIFS('V11 - Cryptography'!$F$2:$F$32,"Compliant",'V11 - Cryptography'!$E$2:$E$32,1)</f>
        <v>1</v>
      </c>
      <c r="E16" s="5">
        <f t="shared" si="0"/>
        <v>0.33333333333333331</v>
      </c>
      <c r="F16" s="4">
        <v>11</v>
      </c>
      <c r="G16" s="4">
        <f>COUNTIFS('V11 - Cryptography'!$F$2:$F$32,"Compliant",'V11 - Cryptography'!$E$2:$E$32,2)</f>
        <v>5</v>
      </c>
      <c r="H16" s="5">
        <f t="shared" si="1"/>
        <v>0.45454545454545453</v>
      </c>
      <c r="I16" s="4">
        <v>10</v>
      </c>
      <c r="J16" s="4">
        <f>COUNTIFS('V11 - Cryptography'!$F$2:$F$32,"Compliant",'V11 - Cryptography'!$E$2:$E$32,3)</f>
        <v>4</v>
      </c>
      <c r="K16" s="5">
        <f t="shared" si="4"/>
        <v>0.4</v>
      </c>
      <c r="L16" s="4">
        <f>COUNTIF('V11 - Cryptography'!$F$2:$F$32,"Compliant")</f>
        <v>10</v>
      </c>
      <c r="M16" s="5">
        <f t="shared" si="3"/>
        <v>0.41666666666666669</v>
      </c>
    </row>
    <row r="17" spans="1:13" ht="18" customHeight="1" x14ac:dyDescent="0.25">
      <c r="A17" s="6" t="s">
        <v>111</v>
      </c>
      <c r="B17" s="7">
        <v>12</v>
      </c>
      <c r="C17" s="7">
        <v>3</v>
      </c>
      <c r="D17" s="7">
        <f>COUNTIFS('V12 - Secure Communication'!$F$2:$F$16,"Compliant",'V12 - Secure Communication'!$E$2:$E$16,1)</f>
        <v>2</v>
      </c>
      <c r="E17" s="8">
        <f t="shared" si="0"/>
        <v>0.66666666666666663</v>
      </c>
      <c r="F17" s="7">
        <v>6</v>
      </c>
      <c r="G17" s="7">
        <f>COUNTIFS('V12 - Secure Communication'!$F$2:$F$16,"Compliant",'V12 - Secure Communication'!$E$2:$E$16,2)</f>
        <v>0</v>
      </c>
      <c r="H17" s="8">
        <f t="shared" si="1"/>
        <v>0</v>
      </c>
      <c r="I17" s="7">
        <v>3</v>
      </c>
      <c r="J17" s="7">
        <f>COUNTIFS('V12 - Secure Communication'!$F$2:$F$16,"Compliant",'V12 - Secure Communication'!$E$2:$E$16,3)</f>
        <v>0</v>
      </c>
      <c r="K17" s="8">
        <f t="shared" si="4"/>
        <v>0</v>
      </c>
      <c r="L17" s="7">
        <f>COUNTIF('V12 - Secure Communication'!$F$2:$F$16,"Compliant")</f>
        <v>2</v>
      </c>
      <c r="M17" s="8">
        <f t="shared" si="3"/>
        <v>0.16666666666666666</v>
      </c>
    </row>
    <row r="18" spans="1:13" ht="18" customHeight="1" x14ac:dyDescent="0.25">
      <c r="A18" s="3" t="s">
        <v>112</v>
      </c>
      <c r="B18" s="4">
        <v>21</v>
      </c>
      <c r="C18" s="4">
        <v>1</v>
      </c>
      <c r="D18" s="4">
        <f>COUNTIFS('V13 - Configuration'!$F$2:$F$26,"Compliant",'V13 - Configuration'!$E$2:$E$26,1)</f>
        <v>1</v>
      </c>
      <c r="E18" s="5">
        <f t="shared" si="0"/>
        <v>1</v>
      </c>
      <c r="F18" s="4">
        <v>12</v>
      </c>
      <c r="G18" s="4">
        <f>COUNTIFS('V13 - Configuration'!$F$2:$F$26,"Compliant",'V13 - Configuration'!$E$2:$E$26,2)</f>
        <v>2</v>
      </c>
      <c r="H18" s="5">
        <f t="shared" si="1"/>
        <v>0.16666666666666666</v>
      </c>
      <c r="I18" s="4">
        <v>8</v>
      </c>
      <c r="J18" s="4">
        <f>COUNTIFS('V13 - Configuration'!$F$2:$F$26,"Compliant",'V13 - Configuration'!$E$2:$E$26,3)</f>
        <v>0</v>
      </c>
      <c r="K18" s="5">
        <f t="shared" si="4"/>
        <v>0</v>
      </c>
      <c r="L18" s="4">
        <f>COUNTIF('V13 - Configuration'!$F$2:$F$26,"Compliant")</f>
        <v>3</v>
      </c>
      <c r="M18" s="5">
        <f t="shared" si="3"/>
        <v>0.14285714285714285</v>
      </c>
    </row>
    <row r="19" spans="1:13" ht="18" customHeight="1" x14ac:dyDescent="0.25">
      <c r="A19" s="6" t="s">
        <v>113</v>
      </c>
      <c r="B19" s="7">
        <v>13</v>
      </c>
      <c r="C19" s="7">
        <v>2</v>
      </c>
      <c r="D19" s="7">
        <f>COUNTIFS('V14 - Data Protection'!$F$2:$F$17,"Compliant",'V14 - Data Protection'!$E$2:$E$17,1)</f>
        <v>0</v>
      </c>
      <c r="E19" s="8">
        <f t="shared" si="0"/>
        <v>0</v>
      </c>
      <c r="F19" s="7">
        <v>7</v>
      </c>
      <c r="G19" s="7">
        <f>COUNTIFS('V14 - Data Protection'!$F$2:$F$17,"Compliant",'V14 - Data Protection'!$E$2:$E$17,2)</f>
        <v>0</v>
      </c>
      <c r="H19" s="8">
        <f t="shared" si="1"/>
        <v>0</v>
      </c>
      <c r="I19" s="7">
        <v>4</v>
      </c>
      <c r="J19" s="7">
        <f>COUNTIFS('V14 - Data Protection'!$F$2:$F$17,"Compliant",'V14 - Data Protection'!$E$2:$E$17,3)</f>
        <v>0</v>
      </c>
      <c r="K19" s="8">
        <f t="shared" si="4"/>
        <v>0</v>
      </c>
      <c r="L19" s="7">
        <f>COUNTIF('V14 - Data Protection'!$F$2:$F$17,"Compliant")</f>
        <v>0</v>
      </c>
      <c r="M19" s="8">
        <f t="shared" si="3"/>
        <v>0</v>
      </c>
    </row>
    <row r="20" spans="1:13" ht="18" customHeight="1" x14ac:dyDescent="0.25">
      <c r="A20" s="3" t="s">
        <v>114</v>
      </c>
      <c r="B20" s="4">
        <v>21</v>
      </c>
      <c r="C20" s="4">
        <v>3</v>
      </c>
      <c r="D20" s="4">
        <f>COUNTIFS('V15 - Secure Coding and Archite'!$F$2:$F$26,"Compliant",'V15 - Secure Coding and Archite'!$E$2:$E$26,1)</f>
        <v>1</v>
      </c>
      <c r="E20" s="5">
        <f t="shared" si="0"/>
        <v>0.33333333333333331</v>
      </c>
      <c r="F20" s="4">
        <v>10</v>
      </c>
      <c r="G20" s="4">
        <f>COUNTIFS('V15 - Secure Coding and Archite'!$F$2:$F$26,"Compliant",'V15 - Secure Coding and Archite'!$E$2:$E$26,2)</f>
        <v>2</v>
      </c>
      <c r="H20" s="5">
        <f t="shared" si="1"/>
        <v>0.2</v>
      </c>
      <c r="I20" s="4">
        <v>8</v>
      </c>
      <c r="J20" s="4">
        <f>COUNTIFS('V15 - Secure Coding and Archite'!$F$2:$F$26,"Compliant",'V15 - Secure Coding and Archite'!$E$2:$E$26,3)</f>
        <v>0</v>
      </c>
      <c r="K20" s="5">
        <f t="shared" si="4"/>
        <v>0</v>
      </c>
      <c r="L20" s="4">
        <f>COUNTIF('V15 - Secure Coding and Archite'!$F$2:$F$26,"Compliant")</f>
        <v>3</v>
      </c>
      <c r="M20" s="5">
        <f t="shared" si="3"/>
        <v>0.14285714285714285</v>
      </c>
    </row>
    <row r="21" spans="1:13" ht="18" customHeight="1" x14ac:dyDescent="0.25">
      <c r="A21" s="6" t="s">
        <v>115</v>
      </c>
      <c r="B21" s="7">
        <v>17</v>
      </c>
      <c r="C21" s="7">
        <v>0</v>
      </c>
      <c r="D21" s="7" t="s">
        <v>108</v>
      </c>
      <c r="E21" s="7" t="s">
        <v>108</v>
      </c>
      <c r="F21" s="7">
        <v>16</v>
      </c>
      <c r="G21" s="7">
        <f>COUNTIFS('V16 - Security Logging and Erro'!$F$2:$F$23,"Compliant",'V16 - Security Logging and Erro'!$E$2:$E$23,2)</f>
        <v>6</v>
      </c>
      <c r="H21" s="8">
        <f t="shared" si="1"/>
        <v>0.375</v>
      </c>
      <c r="I21" s="7">
        <v>1</v>
      </c>
      <c r="J21" s="7">
        <f>COUNTIFS('V16 - Security Logging and Erro'!$F$2:$F$23,"Compliant",'V16 - Security Logging and Erro'!$E$2:$E$23,3)</f>
        <v>1</v>
      </c>
      <c r="K21" s="8">
        <f t="shared" si="4"/>
        <v>1</v>
      </c>
      <c r="L21" s="7">
        <f>COUNTIF('V16 - Security Logging and Erro'!$F$2:$F$23,"Compliant")</f>
        <v>7</v>
      </c>
      <c r="M21" s="8">
        <f t="shared" si="3"/>
        <v>0.41176470588235292</v>
      </c>
    </row>
    <row r="22" spans="1:13" ht="18" customHeight="1" x14ac:dyDescent="0.25">
      <c r="A22" s="3" t="s">
        <v>116</v>
      </c>
      <c r="B22" s="4">
        <v>12</v>
      </c>
      <c r="C22" s="4">
        <v>0</v>
      </c>
      <c r="D22" s="4" t="s">
        <v>108</v>
      </c>
      <c r="E22" s="4" t="s">
        <v>108</v>
      </c>
      <c r="F22" s="4">
        <v>7</v>
      </c>
      <c r="G22" s="4">
        <f>COUNTIFS('V17 - WebRTC'!$F$2:$F$16,"Compliant",'V17 - WebRTC'!$E$2:$E$16,2)</f>
        <v>0</v>
      </c>
      <c r="H22" s="5">
        <f t="shared" si="1"/>
        <v>0</v>
      </c>
      <c r="I22" s="4">
        <v>5</v>
      </c>
      <c r="J22" s="4">
        <f>COUNTIFS('V17 - WebRTC'!$F$2:$F$16,"Compliant",'V17 - WebRTC'!$E$2:$E$16,3)</f>
        <v>0</v>
      </c>
      <c r="K22" s="5">
        <f t="shared" si="4"/>
        <v>0</v>
      </c>
      <c r="L22" s="4">
        <f>COUNTIF('V17 - WebRTC'!$F$2:$F$16,"Compliant")</f>
        <v>0</v>
      </c>
      <c r="M22" s="5">
        <f t="shared" si="3"/>
        <v>0</v>
      </c>
    </row>
    <row r="23" spans="1:13" ht="21.95" customHeight="1" x14ac:dyDescent="0.25">
      <c r="A23" s="9" t="s">
        <v>117</v>
      </c>
      <c r="B23" s="10">
        <f>SUM(B6:B22)</f>
        <v>345</v>
      </c>
      <c r="C23" s="10">
        <f>SUM(C6:C22)</f>
        <v>70</v>
      </c>
      <c r="D23" s="10">
        <f>SUM(D6:D22)</f>
        <v>33</v>
      </c>
      <c r="E23" s="11">
        <f>IFERROR(AVERAGE(E6:E22),"")</f>
        <v>0.48824786324786318</v>
      </c>
      <c r="F23" s="10">
        <f>SUM(F6:F22)</f>
        <v>183</v>
      </c>
      <c r="G23" s="10">
        <f>SUM(G6:G22)</f>
        <v>29</v>
      </c>
      <c r="H23" s="11">
        <f>IFERROR(AVERAGE(H6:H22),"")</f>
        <v>0.16841100076394191</v>
      </c>
      <c r="I23" s="10">
        <f>SUM(I6:I22)</f>
        <v>92</v>
      </c>
      <c r="J23" s="10">
        <f>SUM(J6:J22)</f>
        <v>13</v>
      </c>
      <c r="K23" s="11">
        <f>IFERROR(AVERAGE(K6:K22),"")</f>
        <v>0.17604166666666668</v>
      </c>
      <c r="L23" s="10">
        <f>SUM(L6:L22)</f>
        <v>75</v>
      </c>
      <c r="M23" s="11">
        <f>IFERROR(AVERAGE(M6:M22),"")</f>
        <v>0.24176959435123038</v>
      </c>
    </row>
  </sheetData>
  <mergeCells count="3">
    <mergeCell ref="A1:P1"/>
    <mergeCell ref="A3:B3"/>
    <mergeCell ref="A2:P2"/>
  </mergeCells>
  <conditionalFormatting sqref="E6:E22">
    <cfRule type="colorScale" priority="2">
      <colorScale>
        <cfvo type="num" val="0"/>
        <cfvo type="num" val="0.5"/>
        <cfvo type="num" val="1"/>
        <color rgb="FFF8696B"/>
        <color rgb="FFFFEB84"/>
        <color rgb="FF63BE7B"/>
      </colorScale>
    </cfRule>
  </conditionalFormatting>
  <conditionalFormatting sqref="H6:H22">
    <cfRule type="colorScale" priority="3">
      <colorScale>
        <cfvo type="num" val="0"/>
        <cfvo type="num" val="0.5"/>
        <cfvo type="num" val="1"/>
        <color rgb="FFF8696B"/>
        <color rgb="FFFFEB84"/>
        <color rgb="FF63BE7B"/>
      </colorScale>
    </cfRule>
  </conditionalFormatting>
  <conditionalFormatting sqref="K6:K22">
    <cfRule type="colorScale" priority="4">
      <colorScale>
        <cfvo type="num" val="0"/>
        <cfvo type="num" val="0.5"/>
        <cfvo type="num" val="1"/>
        <color rgb="FFF8696B"/>
        <color rgb="FFFFEB84"/>
        <color rgb="FF63BE7B"/>
      </colorScale>
    </cfRule>
  </conditionalFormatting>
  <conditionalFormatting sqref="M6:M22">
    <cfRule type="colorScale" priority="5">
      <colorScale>
        <cfvo type="num" val="0"/>
        <cfvo type="num" val="0.5"/>
        <cfvo type="num" val="1"/>
        <color rgb="FFF8696B"/>
        <color rgb="FFFFEB84"/>
        <color rgb="FF63BE7B"/>
      </colorScale>
    </cfRule>
  </conditionalFormatting>
  <pageMargins left="0.75" right="0.75" top="1" bottom="1" header="0.51180555555555496" footer="0.51180555555555496"/>
  <pageSetup firstPageNumber="0"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6"/>
  <sheetViews>
    <sheetView topLeftCell="C1" zoomScale="60" zoomScaleNormal="75" workbookViewId="0">
      <pane ySplit="1" topLeftCell="A9" activePane="bottomLeft" state="frozen"/>
      <selection pane="bottomLeft" activeCell="F28" sqref="F28"/>
    </sheetView>
  </sheetViews>
  <sheetFormatPr defaultColWidth="8.42578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13" ht="27.95" customHeight="1" x14ac:dyDescent="0.25">
      <c r="A1" s="12" t="s">
        <v>0</v>
      </c>
      <c r="B1" s="12" t="s">
        <v>1</v>
      </c>
      <c r="C1" s="12" t="s">
        <v>2</v>
      </c>
      <c r="D1" s="12" t="s">
        <v>3</v>
      </c>
      <c r="E1" s="12" t="s">
        <v>4</v>
      </c>
      <c r="F1" s="12" t="s">
        <v>5</v>
      </c>
      <c r="G1" s="12" t="s">
        <v>6</v>
      </c>
      <c r="H1" s="12" t="s">
        <v>7</v>
      </c>
    </row>
    <row r="2" spans="1:13" ht="18" customHeight="1" x14ac:dyDescent="0.25">
      <c r="A2" s="13" t="s">
        <v>118</v>
      </c>
      <c r="B2" s="13" t="s">
        <v>119</v>
      </c>
      <c r="C2" s="13"/>
      <c r="D2" s="13"/>
      <c r="E2" s="13"/>
      <c r="F2" s="13"/>
      <c r="G2" s="13"/>
      <c r="H2" s="13"/>
    </row>
    <row r="3" spans="1:13" ht="30" customHeight="1" x14ac:dyDescent="0.25">
      <c r="A3" s="14" t="s">
        <v>118</v>
      </c>
      <c r="B3" s="14" t="s">
        <v>119</v>
      </c>
      <c r="C3" s="15" t="s">
        <v>120</v>
      </c>
      <c r="D3" s="16" t="s">
        <v>121</v>
      </c>
      <c r="E3" s="17">
        <v>2</v>
      </c>
      <c r="F3" s="18" t="s">
        <v>12</v>
      </c>
      <c r="G3" s="16" t="s">
        <v>122</v>
      </c>
      <c r="H3" s="24" t="s">
        <v>123</v>
      </c>
    </row>
    <row r="4" spans="1:13" ht="30" customHeight="1" x14ac:dyDescent="0.25">
      <c r="A4" s="19" t="s">
        <v>118</v>
      </c>
      <c r="B4" s="19" t="s">
        <v>119</v>
      </c>
      <c r="C4" s="20" t="s">
        <v>124</v>
      </c>
      <c r="D4" s="21" t="s">
        <v>125</v>
      </c>
      <c r="E4" s="17">
        <v>2</v>
      </c>
      <c r="F4" s="18" t="s">
        <v>12</v>
      </c>
      <c r="G4" s="24" t="s">
        <v>126</v>
      </c>
      <c r="H4" s="24" t="s">
        <v>127</v>
      </c>
    </row>
    <row r="5" spans="1:13" ht="18" customHeight="1" x14ac:dyDescent="0.25">
      <c r="A5" s="13" t="s">
        <v>128</v>
      </c>
      <c r="B5" s="13" t="s">
        <v>129</v>
      </c>
      <c r="C5" s="13"/>
      <c r="D5" s="13"/>
      <c r="E5" s="13"/>
      <c r="F5" s="13"/>
      <c r="G5" s="24"/>
      <c r="H5" s="13"/>
    </row>
    <row r="6" spans="1:13" ht="30" customHeight="1" x14ac:dyDescent="0.25">
      <c r="A6" s="14" t="s">
        <v>128</v>
      </c>
      <c r="B6" s="14" t="s">
        <v>129</v>
      </c>
      <c r="C6" s="15" t="s">
        <v>130</v>
      </c>
      <c r="D6" s="16" t="s">
        <v>131</v>
      </c>
      <c r="E6" s="22">
        <v>1</v>
      </c>
      <c r="F6" s="18" t="s">
        <v>20</v>
      </c>
      <c r="G6" s="24" t="s">
        <v>132</v>
      </c>
      <c r="H6" s="16"/>
    </row>
    <row r="7" spans="1:13" ht="30" customHeight="1" x14ac:dyDescent="0.25">
      <c r="A7" s="19" t="s">
        <v>128</v>
      </c>
      <c r="B7" s="19" t="s">
        <v>129</v>
      </c>
      <c r="C7" s="20" t="s">
        <v>133</v>
      </c>
      <c r="D7" s="21" t="s">
        <v>134</v>
      </c>
      <c r="E7" s="22">
        <v>1</v>
      </c>
      <c r="F7" s="18" t="s">
        <v>20</v>
      </c>
      <c r="G7" s="24" t="s">
        <v>135</v>
      </c>
      <c r="H7" s="21"/>
    </row>
    <row r="8" spans="1:13" ht="30" customHeight="1" x14ac:dyDescent="0.25">
      <c r="A8" s="14" t="s">
        <v>128</v>
      </c>
      <c r="B8" s="14" t="s">
        <v>129</v>
      </c>
      <c r="C8" s="15" t="s">
        <v>136</v>
      </c>
      <c r="D8" s="16" t="s">
        <v>137</v>
      </c>
      <c r="E8" s="22">
        <v>1</v>
      </c>
      <c r="F8" s="18" t="s">
        <v>20</v>
      </c>
      <c r="G8" s="24" t="s">
        <v>138</v>
      </c>
      <c r="H8" s="16"/>
    </row>
    <row r="9" spans="1:13" ht="30" customHeight="1" x14ac:dyDescent="0.25">
      <c r="A9" s="19" t="s">
        <v>128</v>
      </c>
      <c r="B9" s="19" t="s">
        <v>129</v>
      </c>
      <c r="C9" s="20" t="s">
        <v>139</v>
      </c>
      <c r="D9" s="21" t="s">
        <v>140</v>
      </c>
      <c r="E9" s="22">
        <v>1</v>
      </c>
      <c r="F9" s="18" t="s">
        <v>418</v>
      </c>
      <c r="G9" s="24" t="s">
        <v>1241</v>
      </c>
      <c r="H9" s="24" t="s">
        <v>141</v>
      </c>
    </row>
    <row r="10" spans="1:13" ht="30" customHeight="1" x14ac:dyDescent="0.25">
      <c r="A10" s="14" t="s">
        <v>128</v>
      </c>
      <c r="B10" s="14" t="s">
        <v>129</v>
      </c>
      <c r="C10" s="15" t="s">
        <v>142</v>
      </c>
      <c r="D10" s="16" t="s">
        <v>143</v>
      </c>
      <c r="E10" s="22">
        <v>1</v>
      </c>
      <c r="F10" s="18" t="s">
        <v>20</v>
      </c>
      <c r="G10" s="24" t="s">
        <v>1242</v>
      </c>
      <c r="H10" s="24" t="s">
        <v>144</v>
      </c>
    </row>
    <row r="11" spans="1:13" ht="30" customHeight="1" x14ac:dyDescent="0.25">
      <c r="A11" s="19" t="s">
        <v>128</v>
      </c>
      <c r="B11" s="19" t="s">
        <v>129</v>
      </c>
      <c r="C11" s="20" t="s">
        <v>145</v>
      </c>
      <c r="D11" s="21" t="s">
        <v>146</v>
      </c>
      <c r="E11" s="17">
        <v>2</v>
      </c>
      <c r="F11" s="18" t="s">
        <v>20</v>
      </c>
      <c r="G11" s="24" t="s">
        <v>147</v>
      </c>
      <c r="H11" s="21"/>
    </row>
    <row r="12" spans="1:13" ht="30" customHeight="1" x14ac:dyDescent="0.25">
      <c r="A12" s="14" t="s">
        <v>128</v>
      </c>
      <c r="B12" s="14" t="s">
        <v>129</v>
      </c>
      <c r="C12" s="15" t="s">
        <v>148</v>
      </c>
      <c r="D12" s="16" t="s">
        <v>149</v>
      </c>
      <c r="E12" s="17">
        <v>2</v>
      </c>
      <c r="F12" s="18" t="s">
        <v>20</v>
      </c>
      <c r="G12" s="24" t="s">
        <v>150</v>
      </c>
      <c r="H12" s="16"/>
    </row>
    <row r="13" spans="1:13" ht="30" customHeight="1" x14ac:dyDescent="0.25">
      <c r="A13" s="19" t="s">
        <v>128</v>
      </c>
      <c r="B13" s="19" t="s">
        <v>129</v>
      </c>
      <c r="C13" s="20" t="s">
        <v>151</v>
      </c>
      <c r="D13" s="21" t="s">
        <v>152</v>
      </c>
      <c r="E13" s="17">
        <v>2</v>
      </c>
      <c r="F13" s="18" t="s">
        <v>20</v>
      </c>
      <c r="G13" s="24" t="s">
        <v>153</v>
      </c>
      <c r="H13" s="21"/>
    </row>
    <row r="14" spans="1:13" ht="30" customHeight="1" x14ac:dyDescent="0.25">
      <c r="A14" s="14" t="s">
        <v>128</v>
      </c>
      <c r="B14" s="14" t="s">
        <v>129</v>
      </c>
      <c r="C14" s="15" t="s">
        <v>154</v>
      </c>
      <c r="D14" s="16" t="s">
        <v>155</v>
      </c>
      <c r="E14" s="17">
        <v>2</v>
      </c>
      <c r="F14" s="18" t="s">
        <v>12</v>
      </c>
      <c r="G14" s="24" t="s">
        <v>156</v>
      </c>
      <c r="H14" s="25" t="s">
        <v>157</v>
      </c>
      <c r="M14" s="27"/>
    </row>
    <row r="15" spans="1:13" ht="30" customHeight="1" x14ac:dyDescent="0.25">
      <c r="A15" s="19" t="s">
        <v>128</v>
      </c>
      <c r="B15" s="19" t="s">
        <v>129</v>
      </c>
      <c r="C15" s="20" t="s">
        <v>158</v>
      </c>
      <c r="D15" s="21" t="s">
        <v>159</v>
      </c>
      <c r="E15" s="23">
        <v>3</v>
      </c>
      <c r="F15" s="18" t="s">
        <v>12</v>
      </c>
      <c r="G15" s="24" t="s">
        <v>160</v>
      </c>
      <c r="H15" s="24" t="s">
        <v>161</v>
      </c>
    </row>
    <row r="16" spans="1:13" ht="18" customHeight="1" x14ac:dyDescent="0.25">
      <c r="A16" s="13" t="s">
        <v>162</v>
      </c>
      <c r="B16" s="13" t="s">
        <v>163</v>
      </c>
      <c r="C16" s="13"/>
      <c r="D16" s="13"/>
      <c r="E16" s="13"/>
      <c r="F16" s="13"/>
      <c r="G16" s="13"/>
      <c r="H16" s="13"/>
    </row>
    <row r="17" spans="1:8" ht="30" customHeight="1" x14ac:dyDescent="0.25">
      <c r="A17" s="14" t="s">
        <v>162</v>
      </c>
      <c r="B17" s="14" t="s">
        <v>163</v>
      </c>
      <c r="C17" s="15" t="s">
        <v>164</v>
      </c>
      <c r="D17" s="16" t="s">
        <v>165</v>
      </c>
      <c r="E17" s="22">
        <v>1</v>
      </c>
      <c r="F17" s="18" t="s">
        <v>20</v>
      </c>
      <c r="G17" s="24" t="s">
        <v>166</v>
      </c>
      <c r="H17" s="16"/>
    </row>
    <row r="18" spans="1:8" ht="30" customHeight="1" x14ac:dyDescent="0.25">
      <c r="A18" s="19" t="s">
        <v>162</v>
      </c>
      <c r="B18" s="19" t="s">
        <v>163</v>
      </c>
      <c r="C18" s="20" t="s">
        <v>167</v>
      </c>
      <c r="D18" s="21" t="s">
        <v>168</v>
      </c>
      <c r="E18" s="22">
        <v>1</v>
      </c>
      <c r="F18" s="18" t="s">
        <v>12</v>
      </c>
      <c r="G18" s="24" t="s">
        <v>169</v>
      </c>
      <c r="H18" s="24" t="s">
        <v>170</v>
      </c>
    </row>
    <row r="19" spans="1:8" ht="30" customHeight="1" x14ac:dyDescent="0.25">
      <c r="A19" s="14" t="s">
        <v>162</v>
      </c>
      <c r="B19" s="14" t="s">
        <v>163</v>
      </c>
      <c r="C19" s="15" t="s">
        <v>171</v>
      </c>
      <c r="D19" s="16" t="s">
        <v>172</v>
      </c>
      <c r="E19" s="17">
        <v>2</v>
      </c>
      <c r="F19" s="26" t="s">
        <v>12</v>
      </c>
      <c r="G19" s="24" t="s">
        <v>173</v>
      </c>
      <c r="H19" s="24" t="s">
        <v>174</v>
      </c>
    </row>
    <row r="20" spans="1:8" ht="30" customHeight="1" x14ac:dyDescent="0.25">
      <c r="A20" s="19" t="s">
        <v>162</v>
      </c>
      <c r="B20" s="19" t="s">
        <v>163</v>
      </c>
      <c r="C20" s="20" t="s">
        <v>175</v>
      </c>
      <c r="D20" s="21" t="s">
        <v>176</v>
      </c>
      <c r="E20" s="17">
        <v>2</v>
      </c>
      <c r="F20" s="18" t="s">
        <v>20</v>
      </c>
      <c r="G20" s="24" t="s">
        <v>177</v>
      </c>
      <c r="H20" s="21"/>
    </row>
    <row r="21" spans="1:8" ht="30" customHeight="1" x14ac:dyDescent="0.25">
      <c r="A21" s="14" t="s">
        <v>162</v>
      </c>
      <c r="B21" s="14" t="s">
        <v>163</v>
      </c>
      <c r="C21" s="15" t="s">
        <v>178</v>
      </c>
      <c r="D21" s="16" t="s">
        <v>179</v>
      </c>
      <c r="E21" s="17">
        <v>2</v>
      </c>
      <c r="F21" s="18" t="s">
        <v>20</v>
      </c>
      <c r="G21" s="24" t="s">
        <v>180</v>
      </c>
      <c r="H21" s="16"/>
    </row>
    <row r="22" spans="1:8" ht="30" customHeight="1" x14ac:dyDescent="0.25">
      <c r="A22" s="19" t="s">
        <v>162</v>
      </c>
      <c r="B22" s="19" t="s">
        <v>163</v>
      </c>
      <c r="C22" s="20" t="s">
        <v>181</v>
      </c>
      <c r="D22" s="21" t="s">
        <v>182</v>
      </c>
      <c r="E22" s="17">
        <v>2</v>
      </c>
      <c r="F22" s="18" t="s">
        <v>20</v>
      </c>
      <c r="G22" s="24" t="s">
        <v>183</v>
      </c>
      <c r="H22" s="21"/>
    </row>
    <row r="23" spans="1:8" ht="30" customHeight="1" x14ac:dyDescent="0.25">
      <c r="A23" s="14" t="s">
        <v>162</v>
      </c>
      <c r="B23" s="14" t="s">
        <v>163</v>
      </c>
      <c r="C23" s="15" t="s">
        <v>184</v>
      </c>
      <c r="D23" s="16" t="s">
        <v>185</v>
      </c>
      <c r="E23" s="17">
        <v>2</v>
      </c>
      <c r="F23" s="18" t="s">
        <v>20</v>
      </c>
      <c r="G23" s="24" t="s">
        <v>186</v>
      </c>
      <c r="H23" s="16"/>
    </row>
    <row r="24" spans="1:8" ht="30" customHeight="1" x14ac:dyDescent="0.25">
      <c r="A24" s="19" t="s">
        <v>162</v>
      </c>
      <c r="B24" s="19" t="s">
        <v>163</v>
      </c>
      <c r="C24" s="20" t="s">
        <v>187</v>
      </c>
      <c r="D24" s="21" t="s">
        <v>188</v>
      </c>
      <c r="E24" s="17">
        <v>2</v>
      </c>
      <c r="F24" s="18" t="s">
        <v>12</v>
      </c>
      <c r="G24" s="24" t="s">
        <v>189</v>
      </c>
      <c r="H24" s="24" t="s">
        <v>190</v>
      </c>
    </row>
    <row r="25" spans="1:8" ht="30" customHeight="1" x14ac:dyDescent="0.25">
      <c r="A25" s="14" t="s">
        <v>162</v>
      </c>
      <c r="B25" s="14" t="s">
        <v>163</v>
      </c>
      <c r="C25" s="15" t="s">
        <v>191</v>
      </c>
      <c r="D25" s="16" t="s">
        <v>192</v>
      </c>
      <c r="E25" s="17">
        <v>2</v>
      </c>
      <c r="F25" s="18" t="s">
        <v>20</v>
      </c>
      <c r="G25" s="24" t="s">
        <v>193</v>
      </c>
      <c r="H25" s="16"/>
    </row>
    <row r="26" spans="1:8" ht="30" customHeight="1" x14ac:dyDescent="0.25">
      <c r="A26" s="19" t="s">
        <v>162</v>
      </c>
      <c r="B26" s="19" t="s">
        <v>163</v>
      </c>
      <c r="C26" s="20" t="s">
        <v>194</v>
      </c>
      <c r="D26" s="21" t="s">
        <v>195</v>
      </c>
      <c r="E26" s="17">
        <v>2</v>
      </c>
      <c r="F26" s="18" t="s">
        <v>12</v>
      </c>
      <c r="G26" s="24" t="s">
        <v>196</v>
      </c>
      <c r="H26" s="24" t="s">
        <v>84</v>
      </c>
    </row>
    <row r="27" spans="1:8" ht="30" customHeight="1" x14ac:dyDescent="0.25">
      <c r="A27" s="14" t="s">
        <v>162</v>
      </c>
      <c r="B27" s="14" t="s">
        <v>163</v>
      </c>
      <c r="C27" s="15" t="s">
        <v>197</v>
      </c>
      <c r="D27" s="16" t="s">
        <v>198</v>
      </c>
      <c r="E27" s="17">
        <v>2</v>
      </c>
      <c r="F27" s="18" t="s">
        <v>20</v>
      </c>
      <c r="G27" s="24" t="s">
        <v>199</v>
      </c>
      <c r="H27" s="16"/>
    </row>
    <row r="28" spans="1:8" ht="30" customHeight="1" x14ac:dyDescent="0.25">
      <c r="A28" s="19" t="s">
        <v>162</v>
      </c>
      <c r="B28" s="19" t="s">
        <v>163</v>
      </c>
      <c r="C28" s="20" t="s">
        <v>200</v>
      </c>
      <c r="D28" s="21" t="s">
        <v>201</v>
      </c>
      <c r="E28" s="23">
        <v>3</v>
      </c>
      <c r="F28" s="18" t="s">
        <v>418</v>
      </c>
      <c r="G28" s="24" t="s">
        <v>1243</v>
      </c>
      <c r="H28" s="24" t="s">
        <v>157</v>
      </c>
    </row>
    <row r="29" spans="1:8" ht="18" customHeight="1" x14ac:dyDescent="0.25">
      <c r="A29" s="13" t="s">
        <v>202</v>
      </c>
      <c r="B29" s="13" t="s">
        <v>203</v>
      </c>
      <c r="C29" s="13"/>
      <c r="D29" s="13"/>
      <c r="E29" s="13"/>
      <c r="F29" s="13"/>
      <c r="G29" s="13"/>
      <c r="H29" s="13"/>
    </row>
    <row r="30" spans="1:8" ht="30" customHeight="1" x14ac:dyDescent="0.25">
      <c r="A30" s="14" t="s">
        <v>202</v>
      </c>
      <c r="B30" s="14" t="s">
        <v>203</v>
      </c>
      <c r="C30" s="15" t="s">
        <v>204</v>
      </c>
      <c r="D30" s="16" t="s">
        <v>205</v>
      </c>
      <c r="E30" s="17">
        <v>2</v>
      </c>
      <c r="F30" s="18" t="s">
        <v>20</v>
      </c>
      <c r="G30" s="24" t="s">
        <v>206</v>
      </c>
      <c r="H30" s="16"/>
    </row>
    <row r="31" spans="1:8" ht="30" customHeight="1" x14ac:dyDescent="0.25">
      <c r="A31" s="19" t="s">
        <v>202</v>
      </c>
      <c r="B31" s="19" t="s">
        <v>203</v>
      </c>
      <c r="C31" s="20" t="s">
        <v>207</v>
      </c>
      <c r="D31" s="21" t="s">
        <v>208</v>
      </c>
      <c r="E31" s="17">
        <v>2</v>
      </c>
      <c r="F31" s="18" t="s">
        <v>12</v>
      </c>
      <c r="G31" s="24" t="s">
        <v>209</v>
      </c>
      <c r="H31" s="24" t="s">
        <v>210</v>
      </c>
    </row>
    <row r="32" spans="1:8" ht="30" customHeight="1" x14ac:dyDescent="0.25">
      <c r="A32" s="14" t="s">
        <v>202</v>
      </c>
      <c r="B32" s="14" t="s">
        <v>203</v>
      </c>
      <c r="C32" s="15" t="s">
        <v>211</v>
      </c>
      <c r="D32" s="16" t="s">
        <v>212</v>
      </c>
      <c r="E32" s="17">
        <v>2</v>
      </c>
      <c r="F32" s="18" t="s">
        <v>20</v>
      </c>
      <c r="G32" s="24" t="s">
        <v>213</v>
      </c>
      <c r="H32" s="16"/>
    </row>
    <row r="33" spans="1:8" ht="18" customHeight="1" x14ac:dyDescent="0.25">
      <c r="A33" s="13" t="s">
        <v>214</v>
      </c>
      <c r="B33" s="13" t="s">
        <v>215</v>
      </c>
      <c r="C33" s="13"/>
      <c r="D33" s="13"/>
      <c r="E33" s="13"/>
      <c r="F33" s="13"/>
      <c r="G33" s="13"/>
      <c r="H33" s="13"/>
    </row>
    <row r="34" spans="1:8" ht="30" customHeight="1" x14ac:dyDescent="0.25">
      <c r="A34" s="14" t="s">
        <v>214</v>
      </c>
      <c r="B34" s="14" t="s">
        <v>215</v>
      </c>
      <c r="C34" s="15" t="s">
        <v>216</v>
      </c>
      <c r="D34" s="16" t="s">
        <v>217</v>
      </c>
      <c r="E34" s="22">
        <v>1</v>
      </c>
      <c r="F34" s="18" t="s">
        <v>20</v>
      </c>
      <c r="G34" s="24" t="s">
        <v>218</v>
      </c>
      <c r="H34" s="16"/>
    </row>
    <row r="35" spans="1:8" ht="30" customHeight="1" x14ac:dyDescent="0.25">
      <c r="A35" s="19" t="s">
        <v>214</v>
      </c>
      <c r="B35" s="19" t="s">
        <v>215</v>
      </c>
      <c r="C35" s="20" t="s">
        <v>219</v>
      </c>
      <c r="D35" s="21" t="s">
        <v>220</v>
      </c>
      <c r="E35" s="17">
        <v>2</v>
      </c>
      <c r="F35" s="18" t="s">
        <v>12</v>
      </c>
      <c r="G35" s="24" t="s">
        <v>221</v>
      </c>
      <c r="H35" s="24" t="s">
        <v>222</v>
      </c>
    </row>
    <row r="36" spans="1:8" ht="30" customHeight="1" x14ac:dyDescent="0.25">
      <c r="A36" s="14" t="s">
        <v>214</v>
      </c>
      <c r="B36" s="14" t="s">
        <v>215</v>
      </c>
      <c r="C36" s="15" t="s">
        <v>223</v>
      </c>
      <c r="D36" s="16" t="s">
        <v>224</v>
      </c>
      <c r="E36" s="23">
        <v>3</v>
      </c>
      <c r="F36" s="18" t="s">
        <v>12</v>
      </c>
      <c r="G36" s="24" t="s">
        <v>225</v>
      </c>
      <c r="H36" s="16"/>
    </row>
  </sheetData>
  <conditionalFormatting sqref="F2:F3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6" xr:uid="{00000000-0002-0000-01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8"/>
  <sheetViews>
    <sheetView topLeftCell="C1" zoomScaleNormal="100" workbookViewId="0">
      <pane ySplit="1" topLeftCell="A2" activePane="bottomLeft" state="frozen"/>
      <selection pane="bottomLeft" activeCell="H13" sqref="H13"/>
    </sheetView>
  </sheetViews>
  <sheetFormatPr defaultColWidth="8.42578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2" t="s">
        <v>0</v>
      </c>
      <c r="B1" s="12" t="s">
        <v>1</v>
      </c>
      <c r="C1" s="12" t="s">
        <v>2</v>
      </c>
      <c r="D1" s="12" t="s">
        <v>3</v>
      </c>
      <c r="E1" s="12" t="s">
        <v>4</v>
      </c>
      <c r="F1" s="12" t="s">
        <v>5</v>
      </c>
      <c r="G1" s="12" t="s">
        <v>6</v>
      </c>
      <c r="H1" s="12" t="s">
        <v>7</v>
      </c>
    </row>
    <row r="2" spans="1:8" ht="18" customHeight="1" x14ac:dyDescent="0.25">
      <c r="A2" s="13" t="s">
        <v>226</v>
      </c>
      <c r="B2" s="13" t="s">
        <v>227</v>
      </c>
      <c r="C2" s="13"/>
      <c r="D2" s="13"/>
      <c r="E2" s="13"/>
      <c r="F2" s="13"/>
      <c r="G2" s="13"/>
      <c r="H2" s="13"/>
    </row>
    <row r="3" spans="1:8" ht="30" customHeight="1" x14ac:dyDescent="0.25">
      <c r="A3" s="14" t="s">
        <v>226</v>
      </c>
      <c r="B3" s="14" t="s">
        <v>227</v>
      </c>
      <c r="C3" s="15" t="s">
        <v>228</v>
      </c>
      <c r="D3" s="16" t="s">
        <v>229</v>
      </c>
      <c r="E3" s="22">
        <v>1</v>
      </c>
      <c r="F3" s="18" t="s">
        <v>710</v>
      </c>
      <c r="G3" s="24" t="s">
        <v>1250</v>
      </c>
      <c r="H3" s="24" t="s">
        <v>210</v>
      </c>
    </row>
    <row r="4" spans="1:8" ht="30" customHeight="1" x14ac:dyDescent="0.25">
      <c r="A4" s="19" t="s">
        <v>226</v>
      </c>
      <c r="B4" s="19" t="s">
        <v>227</v>
      </c>
      <c r="C4" s="20" t="s">
        <v>230</v>
      </c>
      <c r="D4" s="21" t="s">
        <v>231</v>
      </c>
      <c r="E4" s="17">
        <v>2</v>
      </c>
      <c r="F4" s="18" t="s">
        <v>710</v>
      </c>
      <c r="G4" s="24" t="s">
        <v>1251</v>
      </c>
      <c r="H4" s="24" t="s">
        <v>232</v>
      </c>
    </row>
    <row r="5" spans="1:8" ht="30" customHeight="1" x14ac:dyDescent="0.25">
      <c r="A5" s="14" t="s">
        <v>226</v>
      </c>
      <c r="B5" s="14" t="s">
        <v>227</v>
      </c>
      <c r="C5" s="15" t="s">
        <v>233</v>
      </c>
      <c r="D5" s="16" t="s">
        <v>234</v>
      </c>
      <c r="E5" s="17">
        <v>2</v>
      </c>
      <c r="F5" s="18" t="s">
        <v>710</v>
      </c>
      <c r="G5" s="24" t="s">
        <v>1252</v>
      </c>
      <c r="H5" s="24" t="s">
        <v>235</v>
      </c>
    </row>
    <row r="6" spans="1:8" ht="18" customHeight="1" x14ac:dyDescent="0.25">
      <c r="A6" s="13" t="s">
        <v>236</v>
      </c>
      <c r="B6" s="13" t="s">
        <v>237</v>
      </c>
      <c r="C6" s="13"/>
      <c r="D6" s="13"/>
      <c r="E6" s="13"/>
      <c r="F6" s="13"/>
      <c r="G6" s="13"/>
      <c r="H6" s="13"/>
    </row>
    <row r="7" spans="1:8" ht="30" customHeight="1" x14ac:dyDescent="0.25">
      <c r="A7" s="14" t="s">
        <v>236</v>
      </c>
      <c r="B7" s="14" t="s">
        <v>237</v>
      </c>
      <c r="C7" s="15" t="s">
        <v>238</v>
      </c>
      <c r="D7" s="16" t="s">
        <v>239</v>
      </c>
      <c r="E7" s="22">
        <v>1</v>
      </c>
      <c r="F7" s="18" t="s">
        <v>418</v>
      </c>
      <c r="G7" s="24" t="s">
        <v>1244</v>
      </c>
      <c r="H7" s="24" t="s">
        <v>210</v>
      </c>
    </row>
    <row r="8" spans="1:8" ht="30" customHeight="1" x14ac:dyDescent="0.25">
      <c r="A8" s="19" t="s">
        <v>236</v>
      </c>
      <c r="B8" s="19" t="s">
        <v>237</v>
      </c>
      <c r="C8" s="20" t="s">
        <v>240</v>
      </c>
      <c r="D8" s="21" t="s">
        <v>241</v>
      </c>
      <c r="E8" s="22">
        <v>1</v>
      </c>
      <c r="F8" s="18" t="s">
        <v>418</v>
      </c>
      <c r="G8" s="24" t="s">
        <v>1245</v>
      </c>
      <c r="H8" s="24" t="s">
        <v>242</v>
      </c>
    </row>
    <row r="9" spans="1:8" ht="30" customHeight="1" x14ac:dyDescent="0.25">
      <c r="A9" s="14" t="s">
        <v>236</v>
      </c>
      <c r="B9" s="14" t="s">
        <v>237</v>
      </c>
      <c r="C9" s="15" t="s">
        <v>243</v>
      </c>
      <c r="D9" s="16" t="s">
        <v>244</v>
      </c>
      <c r="E9" s="17">
        <v>2</v>
      </c>
      <c r="F9" s="18" t="s">
        <v>418</v>
      </c>
      <c r="G9" s="24" t="s">
        <v>1246</v>
      </c>
      <c r="H9" s="24" t="s">
        <v>245</v>
      </c>
    </row>
    <row r="10" spans="1:8" ht="18" customHeight="1" x14ac:dyDescent="0.25">
      <c r="A10" s="13" t="s">
        <v>246</v>
      </c>
      <c r="B10" s="13" t="s">
        <v>247</v>
      </c>
      <c r="C10" s="13"/>
      <c r="D10" s="13"/>
      <c r="E10" s="13"/>
      <c r="F10" s="13"/>
      <c r="G10" s="13"/>
      <c r="H10" s="13"/>
    </row>
    <row r="11" spans="1:8" ht="30" customHeight="1" x14ac:dyDescent="0.25">
      <c r="A11" s="14" t="s">
        <v>246</v>
      </c>
      <c r="B11" s="14" t="s">
        <v>247</v>
      </c>
      <c r="C11" s="15" t="s">
        <v>248</v>
      </c>
      <c r="D11" s="16" t="s">
        <v>249</v>
      </c>
      <c r="E11" s="22">
        <v>1</v>
      </c>
      <c r="F11" s="18" t="s">
        <v>12</v>
      </c>
      <c r="G11" s="24" t="s">
        <v>250</v>
      </c>
      <c r="H11" s="24" t="s">
        <v>251</v>
      </c>
    </row>
    <row r="12" spans="1:8" ht="30" customHeight="1" x14ac:dyDescent="0.25">
      <c r="A12" s="19" t="s">
        <v>246</v>
      </c>
      <c r="B12" s="19" t="s">
        <v>247</v>
      </c>
      <c r="C12" s="20" t="s">
        <v>252</v>
      </c>
      <c r="D12" s="21" t="s">
        <v>253</v>
      </c>
      <c r="E12" s="17">
        <v>2</v>
      </c>
      <c r="F12" s="18" t="s">
        <v>710</v>
      </c>
      <c r="G12" s="24" t="s">
        <v>1248</v>
      </c>
      <c r="H12" s="24" t="s">
        <v>254</v>
      </c>
    </row>
    <row r="13" spans="1:8" ht="30" customHeight="1" x14ac:dyDescent="0.25">
      <c r="A13" s="14" t="s">
        <v>246</v>
      </c>
      <c r="B13" s="14" t="s">
        <v>247</v>
      </c>
      <c r="C13" s="15" t="s">
        <v>255</v>
      </c>
      <c r="D13" s="16" t="s">
        <v>256</v>
      </c>
      <c r="E13" s="17">
        <v>2</v>
      </c>
      <c r="F13" s="18" t="s">
        <v>418</v>
      </c>
      <c r="G13" s="24" t="s">
        <v>1247</v>
      </c>
      <c r="H13" s="24" t="s">
        <v>257</v>
      </c>
    </row>
    <row r="14" spans="1:8" ht="30" customHeight="1" x14ac:dyDescent="0.25">
      <c r="A14" s="19" t="s">
        <v>246</v>
      </c>
      <c r="B14" s="19" t="s">
        <v>247</v>
      </c>
      <c r="C14" s="20" t="s">
        <v>258</v>
      </c>
      <c r="D14" s="21" t="s">
        <v>259</v>
      </c>
      <c r="E14" s="17">
        <v>2</v>
      </c>
      <c r="F14" s="18" t="s">
        <v>12</v>
      </c>
      <c r="G14" s="24" t="s">
        <v>260</v>
      </c>
      <c r="H14" s="24" t="s">
        <v>123</v>
      </c>
    </row>
    <row r="15" spans="1:8" ht="30" customHeight="1" x14ac:dyDescent="0.25">
      <c r="A15" s="14" t="s">
        <v>246</v>
      </c>
      <c r="B15" s="14" t="s">
        <v>247</v>
      </c>
      <c r="C15" s="15" t="s">
        <v>261</v>
      </c>
      <c r="D15" s="16" t="s">
        <v>262</v>
      </c>
      <c r="E15" s="23">
        <v>3</v>
      </c>
      <c r="F15" s="18" t="s">
        <v>20</v>
      </c>
      <c r="G15" s="24" t="s">
        <v>263</v>
      </c>
      <c r="H15" s="16"/>
    </row>
    <row r="16" spans="1:8" ht="18" customHeight="1" x14ac:dyDescent="0.25">
      <c r="A16" s="13" t="s">
        <v>264</v>
      </c>
      <c r="B16" s="13" t="s">
        <v>265</v>
      </c>
      <c r="C16" s="13"/>
      <c r="D16" s="13"/>
      <c r="E16" s="13"/>
      <c r="F16" s="13"/>
      <c r="G16" s="13"/>
      <c r="H16" s="13"/>
    </row>
    <row r="17" spans="1:8" ht="30" customHeight="1" x14ac:dyDescent="0.25">
      <c r="A17" s="14" t="s">
        <v>264</v>
      </c>
      <c r="B17" s="14" t="s">
        <v>265</v>
      </c>
      <c r="C17" s="15" t="s">
        <v>266</v>
      </c>
      <c r="D17" s="16" t="s">
        <v>267</v>
      </c>
      <c r="E17" s="17">
        <v>2</v>
      </c>
      <c r="F17" s="18" t="s">
        <v>710</v>
      </c>
      <c r="G17" s="24" t="s">
        <v>1249</v>
      </c>
      <c r="H17" s="24" t="s">
        <v>268</v>
      </c>
    </row>
    <row r="18" spans="1:8" ht="30" customHeight="1" x14ac:dyDescent="0.25">
      <c r="A18" s="19" t="s">
        <v>264</v>
      </c>
      <c r="B18" s="19" t="s">
        <v>265</v>
      </c>
      <c r="C18" s="20" t="s">
        <v>269</v>
      </c>
      <c r="D18" s="21" t="s">
        <v>270</v>
      </c>
      <c r="E18" s="23">
        <v>3</v>
      </c>
      <c r="F18" s="18" t="s">
        <v>12</v>
      </c>
      <c r="G18" s="24" t="s">
        <v>271</v>
      </c>
      <c r="H18" s="24" t="s">
        <v>272</v>
      </c>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2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9"/>
  <sheetViews>
    <sheetView zoomScale="85" zoomScaleNormal="85" workbookViewId="0">
      <pane ySplit="1" topLeftCell="A12" activePane="bottomLeft" state="frozen"/>
      <selection pane="bottomLeft" activeCell="M22" sqref="M22"/>
    </sheetView>
  </sheetViews>
  <sheetFormatPr defaultColWidth="8.42578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2" t="s">
        <v>0</v>
      </c>
      <c r="B1" s="12" t="s">
        <v>1</v>
      </c>
      <c r="C1" s="12" t="s">
        <v>2</v>
      </c>
      <c r="D1" s="12" t="s">
        <v>3</v>
      </c>
      <c r="E1" s="12" t="s">
        <v>4</v>
      </c>
      <c r="F1" s="12" t="s">
        <v>5</v>
      </c>
      <c r="G1" s="12" t="s">
        <v>6</v>
      </c>
      <c r="H1" s="12" t="s">
        <v>7</v>
      </c>
    </row>
    <row r="2" spans="1:8" ht="18" customHeight="1" x14ac:dyDescent="0.25">
      <c r="A2" s="13" t="s">
        <v>273</v>
      </c>
      <c r="B2" s="13" t="s">
        <v>274</v>
      </c>
      <c r="C2" s="13"/>
      <c r="D2" s="13"/>
      <c r="E2" s="13"/>
      <c r="F2" s="13"/>
      <c r="G2" s="13"/>
      <c r="H2" s="13"/>
    </row>
    <row r="3" spans="1:8" ht="30" customHeight="1" x14ac:dyDescent="0.25">
      <c r="A3" s="14" t="s">
        <v>273</v>
      </c>
      <c r="B3" s="14" t="s">
        <v>274</v>
      </c>
      <c r="C3" s="15" t="s">
        <v>275</v>
      </c>
      <c r="D3" s="16" t="s">
        <v>276</v>
      </c>
      <c r="E3" s="23">
        <v>3</v>
      </c>
      <c r="F3" s="18" t="s">
        <v>20</v>
      </c>
      <c r="G3" t="s">
        <v>277</v>
      </c>
      <c r="H3" s="16"/>
    </row>
    <row r="4" spans="1:8" ht="18" customHeight="1" x14ac:dyDescent="0.25">
      <c r="A4" s="13" t="s">
        <v>278</v>
      </c>
      <c r="B4" s="13" t="s">
        <v>279</v>
      </c>
      <c r="C4" s="13"/>
      <c r="D4" s="13"/>
      <c r="E4" s="13"/>
      <c r="F4" s="13"/>
      <c r="G4" s="13"/>
      <c r="H4" s="13"/>
    </row>
    <row r="5" spans="1:8" ht="30" customHeight="1" x14ac:dyDescent="0.25">
      <c r="A5" s="14" t="s">
        <v>278</v>
      </c>
      <c r="B5" s="14" t="s">
        <v>279</v>
      </c>
      <c r="C5" s="15" t="s">
        <v>280</v>
      </c>
      <c r="D5" s="16" t="s">
        <v>281</v>
      </c>
      <c r="E5" s="22">
        <v>1</v>
      </c>
      <c r="F5" s="18" t="s">
        <v>20</v>
      </c>
      <c r="G5" s="24" t="s">
        <v>282</v>
      </c>
      <c r="H5" s="16"/>
    </row>
    <row r="6" spans="1:8" ht="30" customHeight="1" x14ac:dyDescent="0.25">
      <c r="A6" s="19" t="s">
        <v>278</v>
      </c>
      <c r="B6" s="19" t="s">
        <v>279</v>
      </c>
      <c r="C6" s="20" t="s">
        <v>283</v>
      </c>
      <c r="D6" s="21" t="s">
        <v>284</v>
      </c>
      <c r="E6" s="22">
        <v>1</v>
      </c>
      <c r="F6" s="18" t="s">
        <v>20</v>
      </c>
      <c r="G6" s="24" t="s">
        <v>285</v>
      </c>
      <c r="H6" s="21"/>
    </row>
    <row r="7" spans="1:8" ht="30" customHeight="1" x14ac:dyDescent="0.25">
      <c r="A7" s="14" t="s">
        <v>278</v>
      </c>
      <c r="B7" s="14" t="s">
        <v>279</v>
      </c>
      <c r="C7" s="15" t="s">
        <v>286</v>
      </c>
      <c r="D7" s="16" t="s">
        <v>287</v>
      </c>
      <c r="E7" s="23">
        <v>3</v>
      </c>
      <c r="F7" s="18" t="s">
        <v>20</v>
      </c>
      <c r="G7" s="24" t="s">
        <v>288</v>
      </c>
      <c r="H7" s="16"/>
    </row>
    <row r="8" spans="1:8" ht="18" customHeight="1" x14ac:dyDescent="0.25">
      <c r="A8" s="13" t="s">
        <v>289</v>
      </c>
      <c r="B8" s="13" t="s">
        <v>290</v>
      </c>
      <c r="C8" s="13"/>
      <c r="D8" s="13"/>
      <c r="E8" s="13"/>
      <c r="F8" s="13"/>
      <c r="G8" s="13"/>
      <c r="H8" s="13"/>
    </row>
    <row r="9" spans="1:8" ht="30" customHeight="1" x14ac:dyDescent="0.25">
      <c r="A9" s="14" t="s">
        <v>289</v>
      </c>
      <c r="B9" s="14" t="s">
        <v>290</v>
      </c>
      <c r="C9" s="15" t="s">
        <v>291</v>
      </c>
      <c r="D9" s="16" t="s">
        <v>292</v>
      </c>
      <c r="E9" s="22">
        <v>1</v>
      </c>
      <c r="F9" s="18" t="s">
        <v>20</v>
      </c>
      <c r="G9" s="24" t="s">
        <v>293</v>
      </c>
      <c r="H9" s="16"/>
    </row>
    <row r="10" spans="1:8" ht="30" customHeight="1" x14ac:dyDescent="0.25">
      <c r="A10" s="19" t="s">
        <v>289</v>
      </c>
      <c r="B10" s="19" t="s">
        <v>290</v>
      </c>
      <c r="C10" s="20" t="s">
        <v>294</v>
      </c>
      <c r="D10" s="21" t="s">
        <v>295</v>
      </c>
      <c r="E10" s="17">
        <v>2</v>
      </c>
      <c r="F10" s="18" t="s">
        <v>20</v>
      </c>
      <c r="G10" s="24" t="s">
        <v>296</v>
      </c>
      <c r="H10" s="21"/>
    </row>
    <row r="11" spans="1:8" ht="30" customHeight="1" x14ac:dyDescent="0.25">
      <c r="A11" s="14" t="s">
        <v>289</v>
      </c>
      <c r="B11" s="14" t="s">
        <v>290</v>
      </c>
      <c r="C11" s="15" t="s">
        <v>297</v>
      </c>
      <c r="D11" s="16" t="s">
        <v>298</v>
      </c>
      <c r="E11" s="17">
        <v>2</v>
      </c>
      <c r="F11" s="18" t="s">
        <v>20</v>
      </c>
      <c r="G11" s="24" t="s">
        <v>296</v>
      </c>
      <c r="H11" s="16"/>
    </row>
    <row r="12" spans="1:8" ht="30" customHeight="1" x14ac:dyDescent="0.25">
      <c r="A12" s="19" t="s">
        <v>289</v>
      </c>
      <c r="B12" s="19" t="s">
        <v>290</v>
      </c>
      <c r="C12" s="20" t="s">
        <v>299</v>
      </c>
      <c r="D12" s="21" t="s">
        <v>300</v>
      </c>
      <c r="E12" s="17">
        <v>2</v>
      </c>
      <c r="F12" s="18" t="s">
        <v>20</v>
      </c>
      <c r="G12" s="24" t="s">
        <v>296</v>
      </c>
      <c r="H12" s="21"/>
    </row>
    <row r="13" spans="1:8" ht="30" customHeight="1" x14ac:dyDescent="0.25">
      <c r="A13" s="14" t="s">
        <v>289</v>
      </c>
      <c r="B13" s="14" t="s">
        <v>290</v>
      </c>
      <c r="C13" s="15" t="s">
        <v>301</v>
      </c>
      <c r="D13" s="16" t="s">
        <v>302</v>
      </c>
      <c r="E13" s="23">
        <v>3</v>
      </c>
      <c r="F13" s="18" t="s">
        <v>20</v>
      </c>
      <c r="G13" s="24" t="s">
        <v>296</v>
      </c>
      <c r="H13" s="16"/>
    </row>
    <row r="14" spans="1:8" ht="18" customHeight="1" x14ac:dyDescent="0.25">
      <c r="A14" s="13" t="s">
        <v>303</v>
      </c>
      <c r="B14" s="13" t="s">
        <v>304</v>
      </c>
      <c r="C14" s="13"/>
      <c r="D14" s="13"/>
      <c r="E14" s="13"/>
      <c r="F14" s="13"/>
      <c r="G14" s="13"/>
      <c r="H14" s="13"/>
    </row>
    <row r="15" spans="1:8" ht="30" customHeight="1" x14ac:dyDescent="0.25">
      <c r="A15" s="14" t="s">
        <v>303</v>
      </c>
      <c r="B15" s="14" t="s">
        <v>304</v>
      </c>
      <c r="C15" s="15" t="s">
        <v>305</v>
      </c>
      <c r="D15" s="16" t="s">
        <v>306</v>
      </c>
      <c r="E15" s="22">
        <v>1</v>
      </c>
      <c r="F15" s="18" t="s">
        <v>418</v>
      </c>
      <c r="G15" s="24" t="s">
        <v>1253</v>
      </c>
      <c r="H15" s="16"/>
    </row>
    <row r="16" spans="1:8" ht="30" customHeight="1" x14ac:dyDescent="0.25">
      <c r="A16" s="19" t="s">
        <v>303</v>
      </c>
      <c r="B16" s="19" t="s">
        <v>304</v>
      </c>
      <c r="C16" s="20" t="s">
        <v>307</v>
      </c>
      <c r="D16" s="21" t="s">
        <v>308</v>
      </c>
      <c r="E16" s="22">
        <v>1</v>
      </c>
      <c r="F16" s="18" t="s">
        <v>418</v>
      </c>
      <c r="G16" s="24" t="s">
        <v>1254</v>
      </c>
      <c r="H16" s="21"/>
    </row>
    <row r="17" spans="1:8" ht="30" customHeight="1" x14ac:dyDescent="0.25">
      <c r="A17" s="14" t="s">
        <v>303</v>
      </c>
      <c r="B17" s="14" t="s">
        <v>304</v>
      </c>
      <c r="C17" s="15" t="s">
        <v>309</v>
      </c>
      <c r="D17" s="16" t="s">
        <v>310</v>
      </c>
      <c r="E17" s="17">
        <v>2</v>
      </c>
      <c r="F17" s="18" t="s">
        <v>20</v>
      </c>
      <c r="G17" s="24" t="s">
        <v>311</v>
      </c>
      <c r="H17" s="16"/>
    </row>
    <row r="18" spans="1:8" ht="30" customHeight="1" x14ac:dyDescent="0.25">
      <c r="A18" s="19" t="s">
        <v>303</v>
      </c>
      <c r="B18" s="19" t="s">
        <v>304</v>
      </c>
      <c r="C18" s="20" t="s">
        <v>312</v>
      </c>
      <c r="D18" s="21" t="s">
        <v>313</v>
      </c>
      <c r="E18" s="17">
        <v>2</v>
      </c>
      <c r="F18" s="18" t="s">
        <v>418</v>
      </c>
      <c r="G18" s="21" t="s">
        <v>1255</v>
      </c>
      <c r="H18" s="21"/>
    </row>
    <row r="19" spans="1:8" ht="30" customHeight="1" x14ac:dyDescent="0.25">
      <c r="A19" s="14" t="s">
        <v>303</v>
      </c>
      <c r="B19" s="14" t="s">
        <v>304</v>
      </c>
      <c r="C19" s="15" t="s">
        <v>314</v>
      </c>
      <c r="D19" s="16" t="s">
        <v>315</v>
      </c>
      <c r="E19" s="17">
        <v>2</v>
      </c>
      <c r="F19" s="18" t="s">
        <v>20</v>
      </c>
      <c r="G19" s="16" t="s">
        <v>316</v>
      </c>
      <c r="H19" s="16"/>
    </row>
    <row r="20" spans="1:8" ht="30" customHeight="1" x14ac:dyDescent="0.25">
      <c r="A20" s="19" t="s">
        <v>303</v>
      </c>
      <c r="B20" s="19" t="s">
        <v>304</v>
      </c>
      <c r="C20" s="20" t="s">
        <v>317</v>
      </c>
      <c r="D20" s="21" t="s">
        <v>318</v>
      </c>
      <c r="E20" s="17">
        <v>2</v>
      </c>
      <c r="F20" s="18" t="s">
        <v>20</v>
      </c>
      <c r="G20" s="21" t="s">
        <v>311</v>
      </c>
      <c r="H20" s="21"/>
    </row>
    <row r="21" spans="1:8" ht="30" customHeight="1" x14ac:dyDescent="0.25">
      <c r="A21" s="14" t="s">
        <v>303</v>
      </c>
      <c r="B21" s="14" t="s">
        <v>304</v>
      </c>
      <c r="C21" s="15" t="s">
        <v>319</v>
      </c>
      <c r="D21" s="16" t="s">
        <v>320</v>
      </c>
      <c r="E21" s="23">
        <v>3</v>
      </c>
      <c r="F21" s="18" t="s">
        <v>20</v>
      </c>
      <c r="G21" s="16" t="s">
        <v>311</v>
      </c>
      <c r="H21" s="16"/>
    </row>
    <row r="22" spans="1:8" ht="30" customHeight="1" x14ac:dyDescent="0.25">
      <c r="A22" s="19" t="s">
        <v>303</v>
      </c>
      <c r="B22" s="19" t="s">
        <v>304</v>
      </c>
      <c r="C22" s="20" t="s">
        <v>321</v>
      </c>
      <c r="D22" s="21" t="s">
        <v>322</v>
      </c>
      <c r="E22" s="23">
        <v>3</v>
      </c>
      <c r="F22" s="18" t="s">
        <v>20</v>
      </c>
      <c r="G22" s="21" t="s">
        <v>311</v>
      </c>
      <c r="H22" s="21"/>
    </row>
    <row r="23" spans="1:8" ht="18" customHeight="1" x14ac:dyDescent="0.25">
      <c r="A23" s="13" t="s">
        <v>323</v>
      </c>
      <c r="B23" s="13" t="s">
        <v>324</v>
      </c>
      <c r="C23" s="13"/>
      <c r="D23" s="13"/>
      <c r="E23" s="13"/>
      <c r="F23" s="13"/>
      <c r="G23" s="13"/>
      <c r="H23" s="13"/>
    </row>
    <row r="24" spans="1:8" ht="30" customHeight="1" x14ac:dyDescent="0.25">
      <c r="A24" s="14" t="s">
        <v>323</v>
      </c>
      <c r="B24" s="14" t="s">
        <v>324</v>
      </c>
      <c r="C24" s="15" t="s">
        <v>325</v>
      </c>
      <c r="D24" s="16" t="s">
        <v>326</v>
      </c>
      <c r="E24" s="22">
        <v>1</v>
      </c>
      <c r="F24" s="18" t="s">
        <v>418</v>
      </c>
      <c r="G24" s="16" t="s">
        <v>1256</v>
      </c>
      <c r="H24" s="16"/>
    </row>
    <row r="25" spans="1:8" ht="30" customHeight="1" x14ac:dyDescent="0.25">
      <c r="A25" s="19" t="s">
        <v>323</v>
      </c>
      <c r="B25" s="19" t="s">
        <v>324</v>
      </c>
      <c r="C25" s="20" t="s">
        <v>327</v>
      </c>
      <c r="D25" s="21" t="s">
        <v>328</v>
      </c>
      <c r="E25" s="22">
        <v>1</v>
      </c>
      <c r="F25" s="18" t="s">
        <v>20</v>
      </c>
      <c r="G25" s="21" t="s">
        <v>1257</v>
      </c>
      <c r="H25" s="21"/>
    </row>
    <row r="26" spans="1:8" ht="30" customHeight="1" x14ac:dyDescent="0.25">
      <c r="A26" s="14" t="s">
        <v>323</v>
      </c>
      <c r="B26" s="14" t="s">
        <v>324</v>
      </c>
      <c r="C26" s="15" t="s">
        <v>329</v>
      </c>
      <c r="D26" s="16" t="s">
        <v>330</v>
      </c>
      <c r="E26" s="22">
        <v>1</v>
      </c>
      <c r="F26" s="18" t="s">
        <v>418</v>
      </c>
      <c r="G26" s="16" t="s">
        <v>1258</v>
      </c>
      <c r="H26" s="16"/>
    </row>
    <row r="27" spans="1:8" ht="30" customHeight="1" x14ac:dyDescent="0.25">
      <c r="A27" s="19" t="s">
        <v>323</v>
      </c>
      <c r="B27" s="19" t="s">
        <v>324</v>
      </c>
      <c r="C27" s="20" t="s">
        <v>331</v>
      </c>
      <c r="D27" s="21" t="s">
        <v>332</v>
      </c>
      <c r="E27" s="17">
        <v>2</v>
      </c>
      <c r="F27" s="18" t="s">
        <v>20</v>
      </c>
      <c r="G27" s="21" t="s">
        <v>333</v>
      </c>
      <c r="H27" s="21"/>
    </row>
    <row r="28" spans="1:8" ht="30" customHeight="1" x14ac:dyDescent="0.25">
      <c r="A28" s="14" t="s">
        <v>323</v>
      </c>
      <c r="B28" s="14" t="s">
        <v>324</v>
      </c>
      <c r="C28" s="15" t="s">
        <v>334</v>
      </c>
      <c r="D28" s="16" t="s">
        <v>335</v>
      </c>
      <c r="E28" s="17">
        <v>2</v>
      </c>
      <c r="F28" s="18" t="s">
        <v>20</v>
      </c>
      <c r="G28" s="16" t="s">
        <v>336</v>
      </c>
      <c r="H28" s="16"/>
    </row>
    <row r="29" spans="1:8" ht="30" customHeight="1" x14ac:dyDescent="0.25">
      <c r="A29" s="19" t="s">
        <v>323</v>
      </c>
      <c r="B29" s="19" t="s">
        <v>324</v>
      </c>
      <c r="C29" s="20" t="s">
        <v>337</v>
      </c>
      <c r="D29" s="21" t="s">
        <v>338</v>
      </c>
      <c r="E29" s="23">
        <v>3</v>
      </c>
      <c r="F29" s="18" t="s">
        <v>20</v>
      </c>
      <c r="G29" s="21" t="s">
        <v>339</v>
      </c>
      <c r="H29" s="21"/>
    </row>
    <row r="30" spans="1:8" ht="30" customHeight="1" x14ac:dyDescent="0.25">
      <c r="A30" s="14" t="s">
        <v>323</v>
      </c>
      <c r="B30" s="14" t="s">
        <v>324</v>
      </c>
      <c r="C30" s="15" t="s">
        <v>340</v>
      </c>
      <c r="D30" s="16" t="s">
        <v>341</v>
      </c>
      <c r="E30" s="23">
        <v>3</v>
      </c>
      <c r="F30" s="18" t="s">
        <v>20</v>
      </c>
      <c r="G30" s="16" t="s">
        <v>342</v>
      </c>
      <c r="H30" s="16"/>
    </row>
    <row r="31" spans="1:8" ht="30" customHeight="1" x14ac:dyDescent="0.25">
      <c r="A31" s="19" t="s">
        <v>323</v>
      </c>
      <c r="B31" s="19" t="s">
        <v>324</v>
      </c>
      <c r="C31" s="20" t="s">
        <v>343</v>
      </c>
      <c r="D31" s="21" t="s">
        <v>344</v>
      </c>
      <c r="E31" s="23">
        <v>3</v>
      </c>
      <c r="F31" s="18" t="s">
        <v>20</v>
      </c>
      <c r="G31" s="21" t="s">
        <v>345</v>
      </c>
      <c r="H31" s="21"/>
    </row>
    <row r="32" spans="1:8" ht="18" customHeight="1" x14ac:dyDescent="0.25">
      <c r="A32" s="13" t="s">
        <v>346</v>
      </c>
      <c r="B32" s="13" t="s">
        <v>347</v>
      </c>
      <c r="C32" s="13"/>
      <c r="D32" s="13"/>
      <c r="E32" s="13"/>
      <c r="F32" s="13"/>
      <c r="G32" s="13"/>
      <c r="H32" s="13"/>
    </row>
    <row r="33" spans="1:8" ht="30" customHeight="1" x14ac:dyDescent="0.25">
      <c r="A33" s="14" t="s">
        <v>346</v>
      </c>
      <c r="B33" s="14" t="s">
        <v>347</v>
      </c>
      <c r="C33" s="15" t="s">
        <v>348</v>
      </c>
      <c r="D33" s="16" t="s">
        <v>349</v>
      </c>
      <c r="E33" s="23">
        <v>3</v>
      </c>
      <c r="F33" s="18" t="s">
        <v>20</v>
      </c>
      <c r="G33" s="16" t="s">
        <v>350</v>
      </c>
      <c r="H33" s="16"/>
    </row>
    <row r="34" spans="1:8" ht="18" customHeight="1" x14ac:dyDescent="0.25">
      <c r="A34" s="13" t="s">
        <v>351</v>
      </c>
      <c r="B34" s="13" t="s">
        <v>352</v>
      </c>
      <c r="C34" s="13"/>
      <c r="D34" s="13"/>
      <c r="E34" s="13"/>
      <c r="F34" s="13"/>
      <c r="G34" s="13"/>
      <c r="H34" s="13"/>
    </row>
    <row r="35" spans="1:8" ht="30" customHeight="1" x14ac:dyDescent="0.25">
      <c r="A35" s="14" t="s">
        <v>351</v>
      </c>
      <c r="B35" s="14" t="s">
        <v>352</v>
      </c>
      <c r="C35" s="15" t="s">
        <v>353</v>
      </c>
      <c r="D35" s="16" t="s">
        <v>354</v>
      </c>
      <c r="E35" s="17">
        <v>2</v>
      </c>
      <c r="F35" s="18" t="s">
        <v>20</v>
      </c>
      <c r="G35" s="16" t="s">
        <v>355</v>
      </c>
      <c r="H35" s="16"/>
    </row>
    <row r="36" spans="1:8" ht="30" customHeight="1" x14ac:dyDescent="0.25">
      <c r="A36" s="19" t="s">
        <v>351</v>
      </c>
      <c r="B36" s="19" t="s">
        <v>352</v>
      </c>
      <c r="C36" s="20" t="s">
        <v>356</v>
      </c>
      <c r="D36" s="21" t="s">
        <v>357</v>
      </c>
      <c r="E36" s="17">
        <v>2</v>
      </c>
      <c r="F36" s="18" t="s">
        <v>20</v>
      </c>
      <c r="G36" s="21" t="s">
        <v>358</v>
      </c>
      <c r="H36" s="21"/>
    </row>
    <row r="37" spans="1:8" ht="30" customHeight="1" x14ac:dyDescent="0.25">
      <c r="A37" s="14" t="s">
        <v>351</v>
      </c>
      <c r="B37" s="14" t="s">
        <v>352</v>
      </c>
      <c r="C37" s="15" t="s">
        <v>359</v>
      </c>
      <c r="D37" s="16" t="s">
        <v>360</v>
      </c>
      <c r="E37" s="23">
        <v>3</v>
      </c>
      <c r="F37" s="18" t="s">
        <v>20</v>
      </c>
      <c r="G37" s="16" t="s">
        <v>361</v>
      </c>
      <c r="H37" s="16"/>
    </row>
    <row r="38" spans="1:8" ht="30" customHeight="1" x14ac:dyDescent="0.25">
      <c r="A38" s="19" t="s">
        <v>351</v>
      </c>
      <c r="B38" s="19" t="s">
        <v>352</v>
      </c>
      <c r="C38" s="20" t="s">
        <v>362</v>
      </c>
      <c r="D38" s="21" t="s">
        <v>363</v>
      </c>
      <c r="E38" s="23">
        <v>3</v>
      </c>
      <c r="F38" s="18" t="s">
        <v>20</v>
      </c>
      <c r="G38" s="21" t="s">
        <v>364</v>
      </c>
      <c r="H38" s="21"/>
    </row>
    <row r="39" spans="1:8" ht="30" customHeight="1" x14ac:dyDescent="0.25">
      <c r="A39" s="14" t="s">
        <v>351</v>
      </c>
      <c r="B39" s="14" t="s">
        <v>352</v>
      </c>
      <c r="C39" s="15" t="s">
        <v>365</v>
      </c>
      <c r="D39" s="16" t="s">
        <v>366</v>
      </c>
      <c r="E39" s="23">
        <v>3</v>
      </c>
      <c r="F39" s="18" t="s">
        <v>20</v>
      </c>
      <c r="G39" s="16" t="s">
        <v>367</v>
      </c>
      <c r="H39" s="16"/>
    </row>
  </sheetData>
  <conditionalFormatting sqref="F2:F39">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9" xr:uid="{00000000-0002-0000-03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
  <sheetViews>
    <sheetView zoomScale="85" zoomScaleNormal="85" workbookViewId="0">
      <pane ySplit="1" topLeftCell="A2" activePane="bottomLeft" state="frozen"/>
      <selection pane="bottomLeft" activeCell="G5" sqref="G5"/>
    </sheetView>
  </sheetViews>
  <sheetFormatPr defaultColWidth="8.42578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2" t="s">
        <v>0</v>
      </c>
      <c r="B1" s="12" t="s">
        <v>1</v>
      </c>
      <c r="C1" s="12" t="s">
        <v>2</v>
      </c>
      <c r="D1" s="12" t="s">
        <v>3</v>
      </c>
      <c r="E1" s="12" t="s">
        <v>4</v>
      </c>
      <c r="F1" s="12" t="s">
        <v>5</v>
      </c>
      <c r="G1" s="12" t="s">
        <v>6</v>
      </c>
      <c r="H1" s="12" t="s">
        <v>7</v>
      </c>
    </row>
    <row r="2" spans="1:8" ht="18" customHeight="1" x14ac:dyDescent="0.25">
      <c r="A2" s="13" t="s">
        <v>368</v>
      </c>
      <c r="B2" s="13" t="s">
        <v>369</v>
      </c>
      <c r="C2" s="13"/>
      <c r="D2" s="13"/>
      <c r="E2" s="13"/>
      <c r="F2" s="13"/>
      <c r="G2" s="13"/>
      <c r="H2" s="13"/>
    </row>
    <row r="3" spans="1:8" ht="30" customHeight="1" x14ac:dyDescent="0.25">
      <c r="A3" s="14" t="s">
        <v>368</v>
      </c>
      <c r="B3" s="14" t="s">
        <v>369</v>
      </c>
      <c r="C3" s="15" t="s">
        <v>370</v>
      </c>
      <c r="D3" s="16" t="s">
        <v>371</v>
      </c>
      <c r="E3" s="22">
        <v>1</v>
      </c>
      <c r="F3" s="18" t="s">
        <v>418</v>
      </c>
      <c r="G3" s="16" t="s">
        <v>1259</v>
      </c>
      <c r="H3" s="16"/>
    </row>
    <row r="4" spans="1:8" ht="30" customHeight="1" x14ac:dyDescent="0.25">
      <c r="A4" s="19" t="s">
        <v>368</v>
      </c>
      <c r="B4" s="19" t="s">
        <v>369</v>
      </c>
      <c r="C4" s="20" t="s">
        <v>372</v>
      </c>
      <c r="D4" s="21" t="s">
        <v>373</v>
      </c>
      <c r="E4" s="17">
        <v>2</v>
      </c>
      <c r="F4" s="18" t="s">
        <v>20</v>
      </c>
      <c r="G4" s="21" t="s">
        <v>374</v>
      </c>
      <c r="H4" s="21"/>
    </row>
    <row r="5" spans="1:8" ht="30" customHeight="1" x14ac:dyDescent="0.25">
      <c r="A5" s="14" t="s">
        <v>368</v>
      </c>
      <c r="B5" s="14" t="s">
        <v>369</v>
      </c>
      <c r="C5" s="15" t="s">
        <v>375</v>
      </c>
      <c r="D5" s="16" t="s">
        <v>376</v>
      </c>
      <c r="E5" s="17">
        <v>2</v>
      </c>
      <c r="F5" s="18" t="s">
        <v>710</v>
      </c>
      <c r="G5" s="16" t="s">
        <v>1260</v>
      </c>
      <c r="H5" s="16"/>
    </row>
    <row r="6" spans="1:8" ht="30" customHeight="1" x14ac:dyDescent="0.25">
      <c r="A6" s="19" t="s">
        <v>368</v>
      </c>
      <c r="B6" s="19" t="s">
        <v>369</v>
      </c>
      <c r="C6" s="20" t="s">
        <v>377</v>
      </c>
      <c r="D6" s="21" t="s">
        <v>378</v>
      </c>
      <c r="E6" s="23">
        <v>3</v>
      </c>
      <c r="F6" s="18" t="s">
        <v>418</v>
      </c>
      <c r="G6" s="21" t="s">
        <v>1261</v>
      </c>
      <c r="H6" s="21"/>
    </row>
    <row r="7" spans="1:8" ht="30" customHeight="1" x14ac:dyDescent="0.25">
      <c r="A7" s="14" t="s">
        <v>368</v>
      </c>
      <c r="B7" s="14" t="s">
        <v>369</v>
      </c>
      <c r="C7" s="15" t="s">
        <v>379</v>
      </c>
      <c r="D7" s="16" t="s">
        <v>380</v>
      </c>
      <c r="E7" s="23">
        <v>3</v>
      </c>
      <c r="F7" s="18" t="s">
        <v>20</v>
      </c>
      <c r="G7" s="16" t="s">
        <v>381</v>
      </c>
      <c r="H7" s="16"/>
    </row>
    <row r="8" spans="1:8" ht="18" customHeight="1" x14ac:dyDescent="0.25">
      <c r="A8" s="13" t="s">
        <v>382</v>
      </c>
      <c r="B8" s="13" t="s">
        <v>383</v>
      </c>
      <c r="C8" s="13"/>
      <c r="D8" s="13"/>
      <c r="E8" s="13"/>
      <c r="F8" s="13"/>
      <c r="G8" s="13"/>
      <c r="H8" s="13"/>
    </row>
    <row r="9" spans="1:8" ht="30" customHeight="1" x14ac:dyDescent="0.25">
      <c r="A9" s="14" t="s">
        <v>382</v>
      </c>
      <c r="B9" s="14" t="s">
        <v>383</v>
      </c>
      <c r="C9" s="15" t="s">
        <v>384</v>
      </c>
      <c r="D9" s="16" t="s">
        <v>385</v>
      </c>
      <c r="E9" s="17">
        <v>2</v>
      </c>
      <c r="F9" s="18" t="s">
        <v>418</v>
      </c>
      <c r="G9" s="16" t="s">
        <v>1262</v>
      </c>
      <c r="H9" s="16"/>
    </row>
    <row r="10" spans="1:8" ht="30" customHeight="1" x14ac:dyDescent="0.25">
      <c r="A10" s="19" t="s">
        <v>382</v>
      </c>
      <c r="B10" s="19" t="s">
        <v>383</v>
      </c>
      <c r="C10" s="20" t="s">
        <v>386</v>
      </c>
      <c r="D10" s="21" t="s">
        <v>387</v>
      </c>
      <c r="E10" s="23">
        <v>3</v>
      </c>
      <c r="F10" s="18" t="s">
        <v>418</v>
      </c>
      <c r="G10" s="21" t="s">
        <v>1263</v>
      </c>
      <c r="H10" s="21"/>
    </row>
    <row r="11" spans="1:8" ht="30" customHeight="1" x14ac:dyDescent="0.25">
      <c r="A11" s="14" t="s">
        <v>382</v>
      </c>
      <c r="B11" s="14" t="s">
        <v>383</v>
      </c>
      <c r="C11" s="15" t="s">
        <v>388</v>
      </c>
      <c r="D11" s="16" t="s">
        <v>389</v>
      </c>
      <c r="E11" s="23">
        <v>3</v>
      </c>
      <c r="F11" s="18" t="s">
        <v>418</v>
      </c>
      <c r="G11" s="16" t="s">
        <v>1264</v>
      </c>
      <c r="H11" s="16"/>
    </row>
    <row r="12" spans="1:8" ht="30" customHeight="1" x14ac:dyDescent="0.25">
      <c r="A12" s="19" t="s">
        <v>382</v>
      </c>
      <c r="B12" s="19" t="s">
        <v>383</v>
      </c>
      <c r="C12" s="20" t="s">
        <v>390</v>
      </c>
      <c r="D12" s="21" t="s">
        <v>391</v>
      </c>
      <c r="E12" s="23">
        <v>3</v>
      </c>
      <c r="F12" s="18" t="s">
        <v>418</v>
      </c>
      <c r="G12" s="21" t="s">
        <v>1265</v>
      </c>
      <c r="H12" s="21"/>
    </row>
    <row r="13" spans="1:8" ht="30" customHeight="1" x14ac:dyDescent="0.25">
      <c r="A13" s="14" t="s">
        <v>382</v>
      </c>
      <c r="B13" s="14" t="s">
        <v>383</v>
      </c>
      <c r="C13" s="15" t="s">
        <v>392</v>
      </c>
      <c r="D13" s="16" t="s">
        <v>393</v>
      </c>
      <c r="E13" s="23">
        <v>3</v>
      </c>
      <c r="F13" s="18" t="s">
        <v>418</v>
      </c>
      <c r="G13" s="16" t="s">
        <v>1266</v>
      </c>
      <c r="H13" s="16"/>
    </row>
    <row r="14" spans="1:8" ht="18" customHeight="1" x14ac:dyDescent="0.25">
      <c r="A14" s="13" t="s">
        <v>394</v>
      </c>
      <c r="B14" s="13" t="s">
        <v>395</v>
      </c>
      <c r="C14" s="13"/>
      <c r="D14" s="13"/>
      <c r="E14" s="13"/>
      <c r="F14" s="13"/>
      <c r="G14" s="13"/>
      <c r="H14" s="13"/>
    </row>
    <row r="15" spans="1:8" ht="30" customHeight="1" x14ac:dyDescent="0.25">
      <c r="A15" s="14" t="s">
        <v>394</v>
      </c>
      <c r="B15" s="14" t="s">
        <v>395</v>
      </c>
      <c r="C15" s="15" t="s">
        <v>396</v>
      </c>
      <c r="D15" s="16" t="s">
        <v>397</v>
      </c>
      <c r="E15" s="17">
        <v>2</v>
      </c>
      <c r="F15" s="18" t="s">
        <v>20</v>
      </c>
      <c r="G15" s="16" t="s">
        <v>398</v>
      </c>
      <c r="H15" s="16"/>
    </row>
    <row r="16" spans="1:8" ht="30" customHeight="1" x14ac:dyDescent="0.25">
      <c r="A16" s="19" t="s">
        <v>394</v>
      </c>
      <c r="B16" s="19" t="s">
        <v>395</v>
      </c>
      <c r="C16" s="20" t="s">
        <v>399</v>
      </c>
      <c r="D16" s="21" t="s">
        <v>400</v>
      </c>
      <c r="E16" s="17">
        <v>2</v>
      </c>
      <c r="F16" s="18" t="s">
        <v>20</v>
      </c>
      <c r="G16" s="21" t="s">
        <v>401</v>
      </c>
      <c r="H16" s="21"/>
    </row>
    <row r="17" spans="1:8" ht="18" customHeight="1" x14ac:dyDescent="0.25">
      <c r="A17" s="13" t="s">
        <v>402</v>
      </c>
      <c r="B17" s="13" t="s">
        <v>403</v>
      </c>
      <c r="C17" s="13"/>
      <c r="D17" s="13"/>
      <c r="E17" s="13"/>
      <c r="F17" s="13"/>
      <c r="G17" s="13"/>
      <c r="H17" s="13"/>
    </row>
    <row r="18" spans="1:8" ht="30" customHeight="1" x14ac:dyDescent="0.25">
      <c r="A18" s="14" t="s">
        <v>402</v>
      </c>
      <c r="B18" s="14" t="s">
        <v>403</v>
      </c>
      <c r="C18" s="15" t="s">
        <v>404</v>
      </c>
      <c r="D18" s="16" t="s">
        <v>405</v>
      </c>
      <c r="E18" s="22">
        <v>1</v>
      </c>
      <c r="F18" s="18" t="s">
        <v>20</v>
      </c>
      <c r="G18" s="16" t="s">
        <v>406</v>
      </c>
      <c r="H18" s="16"/>
    </row>
    <row r="19" spans="1:8" ht="30" customHeight="1" x14ac:dyDescent="0.25">
      <c r="A19" s="19" t="s">
        <v>402</v>
      </c>
      <c r="B19" s="19" t="s">
        <v>403</v>
      </c>
      <c r="C19" s="20" t="s">
        <v>407</v>
      </c>
      <c r="D19" s="21" t="s">
        <v>408</v>
      </c>
      <c r="E19" s="17">
        <v>2</v>
      </c>
      <c r="F19" s="18" t="s">
        <v>20</v>
      </c>
      <c r="G19" s="21" t="s">
        <v>409</v>
      </c>
      <c r="H19" s="21"/>
    </row>
    <row r="20" spans="1:8" ht="30" customHeight="1" x14ac:dyDescent="0.25">
      <c r="A20" s="14" t="s">
        <v>402</v>
      </c>
      <c r="B20" s="14" t="s">
        <v>403</v>
      </c>
      <c r="C20" s="15" t="s">
        <v>410</v>
      </c>
      <c r="D20" s="16" t="s">
        <v>411</v>
      </c>
      <c r="E20" s="17">
        <v>2</v>
      </c>
      <c r="F20" s="18" t="s">
        <v>20</v>
      </c>
      <c r="G20" s="16" t="s">
        <v>409</v>
      </c>
      <c r="H20" s="16"/>
    </row>
    <row r="21" spans="1:8" ht="30" customHeight="1" x14ac:dyDescent="0.25">
      <c r="A21" s="19" t="s">
        <v>402</v>
      </c>
      <c r="B21" s="19" t="s">
        <v>403</v>
      </c>
      <c r="C21" s="20" t="s">
        <v>412</v>
      </c>
      <c r="D21" s="21" t="s">
        <v>413</v>
      </c>
      <c r="E21" s="17">
        <v>2</v>
      </c>
      <c r="F21" s="18" t="s">
        <v>20</v>
      </c>
      <c r="G21" s="21" t="s">
        <v>409</v>
      </c>
      <c r="H21" s="21"/>
    </row>
  </sheetData>
  <conditionalFormatting sqref="F2:F21">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1" xr:uid="{00000000-0002-0000-04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8"/>
  <sheetViews>
    <sheetView topLeftCell="E1" zoomScale="75" zoomScaleNormal="75" workbookViewId="0">
      <pane ySplit="1" topLeftCell="A2" activePane="bottomLeft" state="frozen"/>
      <selection pane="bottomLeft" activeCell="H16" sqref="H16"/>
    </sheetView>
  </sheetViews>
  <sheetFormatPr defaultColWidth="8.42578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2" t="s">
        <v>0</v>
      </c>
      <c r="B1" s="12" t="s">
        <v>1</v>
      </c>
      <c r="C1" s="12" t="s">
        <v>2</v>
      </c>
      <c r="D1" s="12" t="s">
        <v>3</v>
      </c>
      <c r="E1" s="12" t="s">
        <v>4</v>
      </c>
      <c r="F1" s="12" t="s">
        <v>5</v>
      </c>
      <c r="G1" s="12" t="s">
        <v>6</v>
      </c>
      <c r="H1" s="12" t="s">
        <v>7</v>
      </c>
    </row>
    <row r="2" spans="1:8" ht="18" customHeight="1" x14ac:dyDescent="0.25">
      <c r="A2" s="13" t="s">
        <v>414</v>
      </c>
      <c r="B2" s="13" t="s">
        <v>415</v>
      </c>
      <c r="C2" s="13"/>
      <c r="D2" s="13"/>
      <c r="E2" s="13"/>
      <c r="F2" s="13"/>
      <c r="G2" s="13"/>
      <c r="H2" s="13"/>
    </row>
    <row r="3" spans="1:8" ht="30" customHeight="1" x14ac:dyDescent="0.25">
      <c r="A3" s="14" t="s">
        <v>414</v>
      </c>
      <c r="B3" s="14" t="s">
        <v>415</v>
      </c>
      <c r="C3" s="15" t="s">
        <v>416</v>
      </c>
      <c r="D3" s="16" t="s">
        <v>417</v>
      </c>
      <c r="E3" s="17">
        <v>2</v>
      </c>
      <c r="F3" s="18" t="s">
        <v>418</v>
      </c>
      <c r="G3" s="16" t="s">
        <v>419</v>
      </c>
      <c r="H3" s="16" t="s">
        <v>157</v>
      </c>
    </row>
    <row r="4" spans="1:8" ht="18" customHeight="1" x14ac:dyDescent="0.25">
      <c r="A4" s="13" t="s">
        <v>420</v>
      </c>
      <c r="B4" s="13" t="s">
        <v>421</v>
      </c>
      <c r="C4" s="13"/>
      <c r="D4" s="13"/>
      <c r="E4" s="13"/>
      <c r="F4" s="13"/>
      <c r="G4" s="13"/>
      <c r="H4" s="13"/>
    </row>
    <row r="5" spans="1:8" ht="30" customHeight="1" x14ac:dyDescent="0.25">
      <c r="A5" s="14" t="s">
        <v>420</v>
      </c>
      <c r="B5" s="14" t="s">
        <v>421</v>
      </c>
      <c r="C5" s="15" t="s">
        <v>422</v>
      </c>
      <c r="D5" s="16" t="s">
        <v>423</v>
      </c>
      <c r="E5" s="22">
        <v>1</v>
      </c>
      <c r="F5" s="18" t="s">
        <v>20</v>
      </c>
      <c r="G5" s="16" t="s">
        <v>424</v>
      </c>
      <c r="H5" s="16"/>
    </row>
    <row r="6" spans="1:8" ht="30" customHeight="1" x14ac:dyDescent="0.25">
      <c r="A6" s="19" t="s">
        <v>420</v>
      </c>
      <c r="B6" s="19" t="s">
        <v>421</v>
      </c>
      <c r="C6" s="20" t="s">
        <v>425</v>
      </c>
      <c r="D6" s="21" t="s">
        <v>426</v>
      </c>
      <c r="E6" s="22">
        <v>1</v>
      </c>
      <c r="F6" s="18" t="s">
        <v>20</v>
      </c>
      <c r="G6" s="21" t="s">
        <v>427</v>
      </c>
      <c r="H6" s="21"/>
    </row>
    <row r="7" spans="1:8" ht="30" customHeight="1" x14ac:dyDescent="0.25">
      <c r="A7" s="14" t="s">
        <v>420</v>
      </c>
      <c r="B7" s="14" t="s">
        <v>421</v>
      </c>
      <c r="C7" s="15" t="s">
        <v>428</v>
      </c>
      <c r="D7" s="16" t="s">
        <v>429</v>
      </c>
      <c r="E7" s="17">
        <v>2</v>
      </c>
      <c r="F7" s="18" t="s">
        <v>20</v>
      </c>
      <c r="G7" s="16" t="s">
        <v>430</v>
      </c>
      <c r="H7" s="16"/>
    </row>
    <row r="8" spans="1:8" ht="30" customHeight="1" x14ac:dyDescent="0.25">
      <c r="A8" s="19" t="s">
        <v>420</v>
      </c>
      <c r="B8" s="19" t="s">
        <v>421</v>
      </c>
      <c r="C8" s="20" t="s">
        <v>431</v>
      </c>
      <c r="D8" s="21" t="s">
        <v>432</v>
      </c>
      <c r="E8" s="23">
        <v>3</v>
      </c>
      <c r="F8" s="18" t="s">
        <v>20</v>
      </c>
      <c r="G8" s="21" t="s">
        <v>427</v>
      </c>
      <c r="H8" s="21"/>
    </row>
    <row r="9" spans="1:8" ht="30" customHeight="1" x14ac:dyDescent="0.25">
      <c r="A9" s="14" t="s">
        <v>420</v>
      </c>
      <c r="B9" s="14" t="s">
        <v>421</v>
      </c>
      <c r="C9" s="15" t="s">
        <v>433</v>
      </c>
      <c r="D9" s="16" t="s">
        <v>434</v>
      </c>
      <c r="E9" s="23">
        <v>3</v>
      </c>
      <c r="F9" s="18" t="s">
        <v>20</v>
      </c>
      <c r="G9" s="16" t="s">
        <v>430</v>
      </c>
      <c r="H9" s="16"/>
    </row>
    <row r="10" spans="1:8" ht="30" customHeight="1" x14ac:dyDescent="0.25">
      <c r="A10" s="19" t="s">
        <v>420</v>
      </c>
      <c r="B10" s="19" t="s">
        <v>421</v>
      </c>
      <c r="C10" s="20" t="s">
        <v>435</v>
      </c>
      <c r="D10" s="21" t="s">
        <v>436</v>
      </c>
      <c r="E10" s="23">
        <v>3</v>
      </c>
      <c r="F10" s="18" t="s">
        <v>20</v>
      </c>
      <c r="G10" s="21" t="s">
        <v>437</v>
      </c>
      <c r="H10" s="21"/>
    </row>
    <row r="11" spans="1:8" ht="18" customHeight="1" x14ac:dyDescent="0.25">
      <c r="A11" s="13" t="s">
        <v>438</v>
      </c>
      <c r="B11" s="13" t="s">
        <v>439</v>
      </c>
      <c r="C11" s="13"/>
      <c r="D11" s="13"/>
      <c r="E11" s="13"/>
      <c r="F11" s="13"/>
      <c r="G11" s="13"/>
      <c r="H11" s="13"/>
    </row>
    <row r="12" spans="1:8" ht="30" customHeight="1" x14ac:dyDescent="0.25">
      <c r="A12" s="14" t="s">
        <v>438</v>
      </c>
      <c r="B12" s="14" t="s">
        <v>439</v>
      </c>
      <c r="C12" s="15" t="s">
        <v>440</v>
      </c>
      <c r="D12" s="16" t="s">
        <v>441</v>
      </c>
      <c r="E12" s="22">
        <v>1</v>
      </c>
      <c r="F12" s="18" t="s">
        <v>418</v>
      </c>
      <c r="G12" s="16" t="s">
        <v>1267</v>
      </c>
      <c r="H12" s="16" t="s">
        <v>442</v>
      </c>
    </row>
    <row r="13" spans="1:8" ht="30" customHeight="1" x14ac:dyDescent="0.25">
      <c r="A13" s="19" t="s">
        <v>438</v>
      </c>
      <c r="B13" s="19" t="s">
        <v>439</v>
      </c>
      <c r="C13" s="20" t="s">
        <v>443</v>
      </c>
      <c r="D13" s="21" t="s">
        <v>444</v>
      </c>
      <c r="E13" s="22">
        <v>1</v>
      </c>
      <c r="F13" s="18" t="s">
        <v>418</v>
      </c>
      <c r="G13" s="21" t="s">
        <v>445</v>
      </c>
      <c r="H13" s="21" t="s">
        <v>446</v>
      </c>
    </row>
    <row r="14" spans="1:8" ht="30" customHeight="1" x14ac:dyDescent="0.25">
      <c r="A14" s="14" t="s">
        <v>438</v>
      </c>
      <c r="B14" s="14" t="s">
        <v>439</v>
      </c>
      <c r="C14" s="15" t="s">
        <v>447</v>
      </c>
      <c r="D14" s="16" t="s">
        <v>448</v>
      </c>
      <c r="E14" s="23">
        <v>3</v>
      </c>
      <c r="F14" s="18" t="s">
        <v>20</v>
      </c>
      <c r="G14" s="16" t="s">
        <v>449</v>
      </c>
      <c r="H14" s="16"/>
    </row>
    <row r="15" spans="1:8" ht="18" customHeight="1" x14ac:dyDescent="0.25">
      <c r="A15" s="13" t="s">
        <v>450</v>
      </c>
      <c r="B15" s="13" t="s">
        <v>451</v>
      </c>
      <c r="C15" s="13"/>
      <c r="D15" s="13"/>
      <c r="E15" s="13"/>
      <c r="F15" s="13"/>
      <c r="G15" s="13"/>
      <c r="H15" s="13"/>
    </row>
    <row r="16" spans="1:8" ht="30" customHeight="1" x14ac:dyDescent="0.25">
      <c r="A16" s="14" t="s">
        <v>450</v>
      </c>
      <c r="B16" s="14" t="s">
        <v>451</v>
      </c>
      <c r="C16" s="15" t="s">
        <v>452</v>
      </c>
      <c r="D16" s="16" t="s">
        <v>453</v>
      </c>
      <c r="E16" s="17">
        <v>2</v>
      </c>
      <c r="F16" s="18" t="s">
        <v>418</v>
      </c>
      <c r="G16" s="16" t="s">
        <v>454</v>
      </c>
      <c r="H16" s="16" t="s">
        <v>446</v>
      </c>
    </row>
    <row r="17" spans="1:8" ht="30" customHeight="1" x14ac:dyDescent="0.25">
      <c r="A17" s="19" t="s">
        <v>450</v>
      </c>
      <c r="B17" s="19" t="s">
        <v>451</v>
      </c>
      <c r="C17" s="20" t="s">
        <v>455</v>
      </c>
      <c r="D17" s="21" t="s">
        <v>456</v>
      </c>
      <c r="E17" s="17">
        <v>2</v>
      </c>
      <c r="F17" s="18" t="s">
        <v>20</v>
      </c>
      <c r="G17" s="21" t="s">
        <v>1268</v>
      </c>
      <c r="H17" s="21" t="s">
        <v>157</v>
      </c>
    </row>
    <row r="18" spans="1:8" ht="30" customHeight="1" x14ac:dyDescent="0.25">
      <c r="A18" s="14" t="s">
        <v>450</v>
      </c>
      <c r="B18" s="14" t="s">
        <v>451</v>
      </c>
      <c r="C18" s="15" t="s">
        <v>457</v>
      </c>
      <c r="D18" s="16" t="s">
        <v>458</v>
      </c>
      <c r="E18" s="17">
        <v>2</v>
      </c>
      <c r="F18" s="18" t="s">
        <v>20</v>
      </c>
      <c r="G18" s="16" t="s">
        <v>459</v>
      </c>
      <c r="H18" s="16"/>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5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6"/>
  <sheetViews>
    <sheetView topLeftCell="D1" zoomScale="83" zoomScaleNormal="75" workbookViewId="0">
      <pane ySplit="1" topLeftCell="A2" activePane="bottomLeft" state="frozen"/>
      <selection pane="bottomLeft" activeCell="H10" sqref="H10"/>
    </sheetView>
  </sheetViews>
  <sheetFormatPr defaultColWidth="8.42578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2" t="s">
        <v>0</v>
      </c>
      <c r="B1" s="12" t="s">
        <v>1</v>
      </c>
      <c r="C1" s="12" t="s">
        <v>2</v>
      </c>
      <c r="D1" s="12" t="s">
        <v>3</v>
      </c>
      <c r="E1" s="12" t="s">
        <v>4</v>
      </c>
      <c r="F1" s="12" t="s">
        <v>5</v>
      </c>
      <c r="G1" s="12" t="s">
        <v>6</v>
      </c>
      <c r="H1" s="12" t="s">
        <v>7</v>
      </c>
    </row>
    <row r="2" spans="1:8" ht="18" customHeight="1" x14ac:dyDescent="0.25">
      <c r="A2" s="13" t="s">
        <v>460</v>
      </c>
      <c r="B2" s="13" t="s">
        <v>461</v>
      </c>
      <c r="C2" s="13"/>
      <c r="D2" s="13"/>
      <c r="E2" s="13"/>
      <c r="F2" s="13"/>
      <c r="G2" s="13"/>
      <c r="H2" s="13"/>
    </row>
    <row r="3" spans="1:8" ht="30" customHeight="1" x14ac:dyDescent="0.25">
      <c r="A3" s="14" t="s">
        <v>460</v>
      </c>
      <c r="B3" s="14" t="s">
        <v>461</v>
      </c>
      <c r="C3" s="15" t="s">
        <v>462</v>
      </c>
      <c r="D3" s="16" t="s">
        <v>463</v>
      </c>
      <c r="E3" s="22">
        <v>1</v>
      </c>
      <c r="F3" s="18" t="s">
        <v>418</v>
      </c>
      <c r="G3" s="16" t="s">
        <v>1269</v>
      </c>
      <c r="H3" s="16" t="s">
        <v>464</v>
      </c>
    </row>
    <row r="4" spans="1:8" ht="30" customHeight="1" x14ac:dyDescent="0.25">
      <c r="A4" s="19" t="s">
        <v>460</v>
      </c>
      <c r="B4" s="19" t="s">
        <v>461</v>
      </c>
      <c r="C4" s="20" t="s">
        <v>465</v>
      </c>
      <c r="D4" s="21" t="s">
        <v>466</v>
      </c>
      <c r="E4" s="17">
        <v>2</v>
      </c>
      <c r="F4" s="18" t="s">
        <v>12</v>
      </c>
      <c r="G4" s="21" t="s">
        <v>467</v>
      </c>
      <c r="H4" s="21" t="s">
        <v>468</v>
      </c>
    </row>
    <row r="5" spans="1:8" ht="30" customHeight="1" x14ac:dyDescent="0.25">
      <c r="A5" s="14" t="s">
        <v>460</v>
      </c>
      <c r="B5" s="14" t="s">
        <v>461</v>
      </c>
      <c r="C5" s="15" t="s">
        <v>469</v>
      </c>
      <c r="D5" s="16" t="s">
        <v>470</v>
      </c>
      <c r="E5" s="17">
        <v>2</v>
      </c>
      <c r="F5" s="18" t="s">
        <v>20</v>
      </c>
      <c r="G5" s="16" t="s">
        <v>471</v>
      </c>
      <c r="H5" s="16"/>
    </row>
    <row r="6" spans="1:8" ht="18" customHeight="1" x14ac:dyDescent="0.25">
      <c r="A6" s="13" t="s">
        <v>472</v>
      </c>
      <c r="B6" s="13" t="s">
        <v>473</v>
      </c>
      <c r="C6" s="13"/>
      <c r="D6" s="13"/>
      <c r="E6" s="13"/>
      <c r="F6" s="13"/>
      <c r="G6" s="13"/>
      <c r="H6" s="13"/>
    </row>
    <row r="7" spans="1:8" ht="30" customHeight="1" x14ac:dyDescent="0.25">
      <c r="A7" s="14" t="s">
        <v>472</v>
      </c>
      <c r="B7" s="14" t="s">
        <v>473</v>
      </c>
      <c r="C7" s="15" t="s">
        <v>474</v>
      </c>
      <c r="D7" s="16" t="s">
        <v>475</v>
      </c>
      <c r="E7" s="22">
        <v>1</v>
      </c>
      <c r="F7" s="18" t="s">
        <v>418</v>
      </c>
      <c r="G7" s="16" t="s">
        <v>476</v>
      </c>
      <c r="H7" s="16" t="s">
        <v>477</v>
      </c>
    </row>
    <row r="8" spans="1:8" ht="30" customHeight="1" x14ac:dyDescent="0.25">
      <c r="A8" s="19" t="s">
        <v>472</v>
      </c>
      <c r="B8" s="19" t="s">
        <v>473</v>
      </c>
      <c r="C8" s="20" t="s">
        <v>478</v>
      </c>
      <c r="D8" s="21" t="s">
        <v>479</v>
      </c>
      <c r="E8" s="22">
        <v>1</v>
      </c>
      <c r="F8" s="18" t="s">
        <v>418</v>
      </c>
      <c r="G8" s="21" t="s">
        <v>1270</v>
      </c>
      <c r="H8" s="21" t="s">
        <v>480</v>
      </c>
    </row>
    <row r="9" spans="1:8" ht="30" customHeight="1" x14ac:dyDescent="0.25">
      <c r="A9" s="14" t="s">
        <v>472</v>
      </c>
      <c r="B9" s="14" t="s">
        <v>473</v>
      </c>
      <c r="C9" s="15" t="s">
        <v>481</v>
      </c>
      <c r="D9" s="16" t="s">
        <v>482</v>
      </c>
      <c r="E9" s="22">
        <v>1</v>
      </c>
      <c r="F9" s="18" t="s">
        <v>12</v>
      </c>
      <c r="G9" s="16" t="s">
        <v>483</v>
      </c>
      <c r="H9" s="16" t="s">
        <v>468</v>
      </c>
    </row>
    <row r="10" spans="1:8" ht="30" customHeight="1" x14ac:dyDescent="0.25">
      <c r="A10" s="19" t="s">
        <v>472</v>
      </c>
      <c r="B10" s="19" t="s">
        <v>473</v>
      </c>
      <c r="C10" s="20" t="s">
        <v>484</v>
      </c>
      <c r="D10" s="21" t="s">
        <v>485</v>
      </c>
      <c r="E10" s="22">
        <v>1</v>
      </c>
      <c r="F10" s="18" t="s">
        <v>418</v>
      </c>
      <c r="G10" s="21" t="s">
        <v>486</v>
      </c>
      <c r="H10" s="21" t="s">
        <v>487</v>
      </c>
    </row>
    <row r="11" spans="1:8" ht="30" customHeight="1" x14ac:dyDescent="0.25">
      <c r="A11" s="14" t="s">
        <v>472</v>
      </c>
      <c r="B11" s="14" t="s">
        <v>473</v>
      </c>
      <c r="C11" s="15" t="s">
        <v>488</v>
      </c>
      <c r="D11" s="16" t="s">
        <v>489</v>
      </c>
      <c r="E11" s="22">
        <v>1</v>
      </c>
      <c r="F11" s="18" t="s">
        <v>418</v>
      </c>
      <c r="G11" s="16" t="s">
        <v>1271</v>
      </c>
      <c r="H11" s="16" t="s">
        <v>468</v>
      </c>
    </row>
    <row r="12" spans="1:8" ht="30" customHeight="1" x14ac:dyDescent="0.25">
      <c r="A12" s="19" t="s">
        <v>472</v>
      </c>
      <c r="B12" s="19" t="s">
        <v>473</v>
      </c>
      <c r="C12" s="20" t="s">
        <v>490</v>
      </c>
      <c r="D12" s="21" t="s">
        <v>491</v>
      </c>
      <c r="E12" s="22">
        <v>1</v>
      </c>
      <c r="F12" s="18" t="s">
        <v>20</v>
      </c>
      <c r="G12" s="21" t="s">
        <v>492</v>
      </c>
      <c r="H12" s="21"/>
    </row>
    <row r="13" spans="1:8" ht="30" customHeight="1" x14ac:dyDescent="0.25">
      <c r="A13" s="14" t="s">
        <v>472</v>
      </c>
      <c r="B13" s="14" t="s">
        <v>473</v>
      </c>
      <c r="C13" s="15" t="s">
        <v>493</v>
      </c>
      <c r="D13" s="16" t="s">
        <v>494</v>
      </c>
      <c r="E13" s="22">
        <v>1</v>
      </c>
      <c r="F13" s="18" t="s">
        <v>20</v>
      </c>
      <c r="G13" s="16" t="s">
        <v>495</v>
      </c>
      <c r="H13" s="16"/>
    </row>
    <row r="14" spans="1:8" ht="30" customHeight="1" x14ac:dyDescent="0.25">
      <c r="A14" s="19" t="s">
        <v>472</v>
      </c>
      <c r="B14" s="19" t="s">
        <v>473</v>
      </c>
      <c r="C14" s="20" t="s">
        <v>496</v>
      </c>
      <c r="D14" s="21" t="s">
        <v>497</v>
      </c>
      <c r="E14" s="22">
        <v>1</v>
      </c>
      <c r="F14" s="18" t="s">
        <v>418</v>
      </c>
      <c r="G14" s="21" t="s">
        <v>498</v>
      </c>
      <c r="H14" s="21" t="s">
        <v>499</v>
      </c>
    </row>
    <row r="15" spans="1:8" ht="30" customHeight="1" x14ac:dyDescent="0.25">
      <c r="A15" s="14" t="s">
        <v>472</v>
      </c>
      <c r="B15" s="14" t="s">
        <v>473</v>
      </c>
      <c r="C15" s="15" t="s">
        <v>500</v>
      </c>
      <c r="D15" s="16" t="s">
        <v>501</v>
      </c>
      <c r="E15" s="17">
        <v>2</v>
      </c>
      <c r="F15" s="18" t="s">
        <v>418</v>
      </c>
      <c r="G15" s="16" t="s">
        <v>502</v>
      </c>
      <c r="H15" s="16" t="s">
        <v>468</v>
      </c>
    </row>
    <row r="16" spans="1:8" ht="30" customHeight="1" x14ac:dyDescent="0.25">
      <c r="A16" s="19" t="s">
        <v>472</v>
      </c>
      <c r="B16" s="19" t="s">
        <v>473</v>
      </c>
      <c r="C16" s="20" t="s">
        <v>503</v>
      </c>
      <c r="D16" s="21" t="s">
        <v>504</v>
      </c>
      <c r="E16" s="17">
        <v>2</v>
      </c>
      <c r="F16" s="18" t="s">
        <v>418</v>
      </c>
      <c r="G16" s="21" t="s">
        <v>1272</v>
      </c>
      <c r="H16" s="21" t="s">
        <v>468</v>
      </c>
    </row>
    <row r="17" spans="1:8" ht="30" customHeight="1" x14ac:dyDescent="0.25">
      <c r="A17" s="14" t="s">
        <v>472</v>
      </c>
      <c r="B17" s="14" t="s">
        <v>473</v>
      </c>
      <c r="C17" s="15" t="s">
        <v>505</v>
      </c>
      <c r="D17" s="16" t="s">
        <v>506</v>
      </c>
      <c r="E17" s="17">
        <v>2</v>
      </c>
      <c r="F17" s="18" t="s">
        <v>12</v>
      </c>
      <c r="G17" s="16" t="s">
        <v>507</v>
      </c>
      <c r="H17" s="16" t="s">
        <v>468</v>
      </c>
    </row>
    <row r="18" spans="1:8" ht="30" customHeight="1" x14ac:dyDescent="0.25">
      <c r="A18" s="19" t="s">
        <v>472</v>
      </c>
      <c r="B18" s="19" t="s">
        <v>473</v>
      </c>
      <c r="C18" s="20" t="s">
        <v>508</v>
      </c>
      <c r="D18" s="21" t="s">
        <v>509</v>
      </c>
      <c r="E18" s="17">
        <v>2</v>
      </c>
      <c r="F18" s="18" t="s">
        <v>418</v>
      </c>
      <c r="G18" s="21" t="s">
        <v>1273</v>
      </c>
      <c r="H18" s="21" t="s">
        <v>468</v>
      </c>
    </row>
    <row r="19" spans="1:8" ht="18" customHeight="1" x14ac:dyDescent="0.25">
      <c r="A19" s="13" t="s">
        <v>510</v>
      </c>
      <c r="B19" s="13" t="s">
        <v>511</v>
      </c>
      <c r="C19" s="13"/>
      <c r="D19" s="13"/>
      <c r="E19" s="13"/>
      <c r="F19" s="13"/>
      <c r="G19" s="13"/>
      <c r="H19" s="13"/>
    </row>
    <row r="20" spans="1:8" ht="30" customHeight="1" x14ac:dyDescent="0.25">
      <c r="A20" s="14" t="s">
        <v>510</v>
      </c>
      <c r="B20" s="14" t="s">
        <v>511</v>
      </c>
      <c r="C20" s="15" t="s">
        <v>512</v>
      </c>
      <c r="D20" s="16" t="s">
        <v>513</v>
      </c>
      <c r="E20" s="22">
        <v>1</v>
      </c>
      <c r="F20" s="18" t="s">
        <v>418</v>
      </c>
      <c r="G20" s="16" t="s">
        <v>514</v>
      </c>
      <c r="H20" s="16" t="s">
        <v>515</v>
      </c>
    </row>
    <row r="21" spans="1:8" ht="30" customHeight="1" x14ac:dyDescent="0.25">
      <c r="A21" s="19" t="s">
        <v>510</v>
      </c>
      <c r="B21" s="19" t="s">
        <v>511</v>
      </c>
      <c r="C21" s="20" t="s">
        <v>516</v>
      </c>
      <c r="D21" s="21" t="s">
        <v>517</v>
      </c>
      <c r="E21" s="22">
        <v>1</v>
      </c>
      <c r="F21" s="18" t="s">
        <v>418</v>
      </c>
      <c r="G21" s="21" t="s">
        <v>518</v>
      </c>
      <c r="H21" s="21" t="s">
        <v>519</v>
      </c>
    </row>
    <row r="22" spans="1:8" ht="30" customHeight="1" x14ac:dyDescent="0.25">
      <c r="A22" s="14" t="s">
        <v>510</v>
      </c>
      <c r="B22" s="14" t="s">
        <v>511</v>
      </c>
      <c r="C22" s="15" t="s">
        <v>520</v>
      </c>
      <c r="D22" s="16" t="s">
        <v>521</v>
      </c>
      <c r="E22" s="17">
        <v>2</v>
      </c>
      <c r="F22" s="18" t="s">
        <v>20</v>
      </c>
      <c r="G22" s="16" t="s">
        <v>522</v>
      </c>
      <c r="H22" s="16"/>
    </row>
    <row r="23" spans="1:8" ht="30" customHeight="1" x14ac:dyDescent="0.25">
      <c r="A23" s="19" t="s">
        <v>510</v>
      </c>
      <c r="B23" s="19" t="s">
        <v>511</v>
      </c>
      <c r="C23" s="20" t="s">
        <v>523</v>
      </c>
      <c r="D23" s="21" t="s">
        <v>524</v>
      </c>
      <c r="E23" s="17">
        <v>2</v>
      </c>
      <c r="F23" s="18" t="s">
        <v>418</v>
      </c>
      <c r="G23" s="21" t="s">
        <v>1274</v>
      </c>
      <c r="H23" s="21" t="s">
        <v>29</v>
      </c>
    </row>
    <row r="24" spans="1:8" ht="30" customHeight="1" x14ac:dyDescent="0.25">
      <c r="A24" s="14" t="s">
        <v>510</v>
      </c>
      <c r="B24" s="14" t="s">
        <v>511</v>
      </c>
      <c r="C24" s="15" t="s">
        <v>525</v>
      </c>
      <c r="D24" s="16" t="s">
        <v>526</v>
      </c>
      <c r="E24" s="23">
        <v>3</v>
      </c>
      <c r="F24" s="18" t="s">
        <v>12</v>
      </c>
      <c r="G24" s="16" t="s">
        <v>527</v>
      </c>
      <c r="H24" s="16" t="s">
        <v>528</v>
      </c>
    </row>
    <row r="25" spans="1:8" ht="30" customHeight="1" x14ac:dyDescent="0.25">
      <c r="A25" s="19" t="s">
        <v>510</v>
      </c>
      <c r="B25" s="19" t="s">
        <v>511</v>
      </c>
      <c r="C25" s="20" t="s">
        <v>529</v>
      </c>
      <c r="D25" s="21" t="s">
        <v>530</v>
      </c>
      <c r="E25" s="23">
        <v>3</v>
      </c>
      <c r="F25" s="18" t="s">
        <v>20</v>
      </c>
      <c r="G25" s="21" t="s">
        <v>531</v>
      </c>
      <c r="H25" s="21"/>
    </row>
    <row r="26" spans="1:8" ht="30" customHeight="1" x14ac:dyDescent="0.25">
      <c r="A26" s="14" t="s">
        <v>510</v>
      </c>
      <c r="B26" s="14" t="s">
        <v>511</v>
      </c>
      <c r="C26" s="15" t="s">
        <v>532</v>
      </c>
      <c r="D26" s="16" t="s">
        <v>533</v>
      </c>
      <c r="E26" s="23">
        <v>3</v>
      </c>
      <c r="F26" s="18" t="s">
        <v>12</v>
      </c>
      <c r="G26" s="16" t="s">
        <v>534</v>
      </c>
      <c r="H26" s="16" t="s">
        <v>535</v>
      </c>
    </row>
    <row r="27" spans="1:8" ht="30" customHeight="1" x14ac:dyDescent="0.25">
      <c r="A27" s="19" t="s">
        <v>510</v>
      </c>
      <c r="B27" s="19" t="s">
        <v>511</v>
      </c>
      <c r="C27" s="20" t="s">
        <v>536</v>
      </c>
      <c r="D27" s="21" t="s">
        <v>537</v>
      </c>
      <c r="E27" s="23">
        <v>3</v>
      </c>
      <c r="F27" s="18" t="s">
        <v>418</v>
      </c>
      <c r="G27" s="21" t="s">
        <v>538</v>
      </c>
      <c r="H27" s="21" t="s">
        <v>539</v>
      </c>
    </row>
    <row r="28" spans="1:8" ht="18" customHeight="1" x14ac:dyDescent="0.25">
      <c r="A28" s="13" t="s">
        <v>540</v>
      </c>
      <c r="B28" s="13" t="s">
        <v>541</v>
      </c>
      <c r="C28" s="13"/>
      <c r="D28" s="13"/>
      <c r="E28" s="13"/>
      <c r="F28" s="13"/>
      <c r="G28" s="13"/>
      <c r="H28" s="13"/>
    </row>
    <row r="29" spans="1:8" ht="30" customHeight="1" x14ac:dyDescent="0.25">
      <c r="A29" s="14" t="s">
        <v>540</v>
      </c>
      <c r="B29" s="14" t="s">
        <v>541</v>
      </c>
      <c r="C29" s="15" t="s">
        <v>542</v>
      </c>
      <c r="D29" s="16" t="s">
        <v>543</v>
      </c>
      <c r="E29" s="22">
        <v>1</v>
      </c>
      <c r="F29" s="18" t="s">
        <v>20</v>
      </c>
      <c r="G29" s="16" t="s">
        <v>1275</v>
      </c>
      <c r="H29" s="16" t="s">
        <v>544</v>
      </c>
    </row>
    <row r="30" spans="1:8" ht="30" customHeight="1" x14ac:dyDescent="0.25">
      <c r="A30" s="19" t="s">
        <v>540</v>
      </c>
      <c r="B30" s="19" t="s">
        <v>541</v>
      </c>
      <c r="C30" s="20" t="s">
        <v>545</v>
      </c>
      <c r="D30" s="21" t="s">
        <v>546</v>
      </c>
      <c r="E30" s="22">
        <v>1</v>
      </c>
      <c r="F30" s="18" t="s">
        <v>20</v>
      </c>
      <c r="G30" s="21" t="s">
        <v>547</v>
      </c>
      <c r="H30" s="21"/>
    </row>
    <row r="31" spans="1:8" ht="30" customHeight="1" x14ac:dyDescent="0.25">
      <c r="A31" s="14" t="s">
        <v>540</v>
      </c>
      <c r="B31" s="14" t="s">
        <v>541</v>
      </c>
      <c r="C31" s="15" t="s">
        <v>548</v>
      </c>
      <c r="D31" s="16" t="s">
        <v>549</v>
      </c>
      <c r="E31" s="17">
        <v>2</v>
      </c>
      <c r="F31" s="18" t="s">
        <v>12</v>
      </c>
      <c r="G31" s="16" t="s">
        <v>550</v>
      </c>
      <c r="H31" s="16" t="s">
        <v>551</v>
      </c>
    </row>
    <row r="32" spans="1:8" ht="30" customHeight="1" x14ac:dyDescent="0.25">
      <c r="A32" s="19" t="s">
        <v>540</v>
      </c>
      <c r="B32" s="19" t="s">
        <v>541</v>
      </c>
      <c r="C32" s="20" t="s">
        <v>552</v>
      </c>
      <c r="D32" s="21" t="s">
        <v>553</v>
      </c>
      <c r="E32" s="17">
        <v>2</v>
      </c>
      <c r="F32" s="18" t="s">
        <v>20</v>
      </c>
      <c r="G32" s="21" t="s">
        <v>554</v>
      </c>
      <c r="H32" s="21"/>
    </row>
    <row r="33" spans="1:8" ht="30" customHeight="1" x14ac:dyDescent="0.25">
      <c r="A33" s="14" t="s">
        <v>540</v>
      </c>
      <c r="B33" s="14" t="s">
        <v>541</v>
      </c>
      <c r="C33" s="15" t="s">
        <v>555</v>
      </c>
      <c r="D33" s="16" t="s">
        <v>556</v>
      </c>
      <c r="E33" s="23">
        <v>3</v>
      </c>
      <c r="F33" s="18" t="s">
        <v>20</v>
      </c>
      <c r="G33" s="16" t="s">
        <v>557</v>
      </c>
      <c r="H33" s="16"/>
    </row>
    <row r="34" spans="1:8" ht="30" customHeight="1" x14ac:dyDescent="0.25">
      <c r="A34" s="19" t="s">
        <v>540</v>
      </c>
      <c r="B34" s="19" t="s">
        <v>541</v>
      </c>
      <c r="C34" s="20" t="s">
        <v>558</v>
      </c>
      <c r="D34" s="21" t="s">
        <v>559</v>
      </c>
      <c r="E34" s="23">
        <v>3</v>
      </c>
      <c r="F34" s="18" t="s">
        <v>12</v>
      </c>
      <c r="G34" s="21" t="s">
        <v>560</v>
      </c>
      <c r="H34" s="21" t="s">
        <v>561</v>
      </c>
    </row>
    <row r="35" spans="1:8" ht="18" customHeight="1" x14ac:dyDescent="0.25">
      <c r="A35" s="13" t="s">
        <v>562</v>
      </c>
      <c r="B35" s="13" t="s">
        <v>563</v>
      </c>
      <c r="C35" s="13"/>
      <c r="D35" s="13"/>
      <c r="E35" s="13"/>
      <c r="F35" s="13"/>
      <c r="G35" s="13"/>
      <c r="H35" s="13"/>
    </row>
    <row r="36" spans="1:8" ht="30" customHeight="1" x14ac:dyDescent="0.25">
      <c r="A36" s="14" t="s">
        <v>562</v>
      </c>
      <c r="B36" s="14" t="s">
        <v>563</v>
      </c>
      <c r="C36" s="15" t="s">
        <v>564</v>
      </c>
      <c r="D36" s="16" t="s">
        <v>565</v>
      </c>
      <c r="E36" s="17">
        <v>2</v>
      </c>
      <c r="F36" s="18" t="s">
        <v>20</v>
      </c>
      <c r="G36" s="16" t="s">
        <v>566</v>
      </c>
      <c r="H36" s="16"/>
    </row>
    <row r="37" spans="1:8" ht="30" customHeight="1" x14ac:dyDescent="0.25">
      <c r="A37" s="19" t="s">
        <v>562</v>
      </c>
      <c r="B37" s="19" t="s">
        <v>563</v>
      </c>
      <c r="C37" s="20" t="s">
        <v>567</v>
      </c>
      <c r="D37" s="21" t="s">
        <v>568</v>
      </c>
      <c r="E37" s="17">
        <v>2</v>
      </c>
      <c r="F37" s="18" t="s">
        <v>20</v>
      </c>
      <c r="G37" s="21" t="s">
        <v>566</v>
      </c>
      <c r="H37" s="21"/>
    </row>
    <row r="38" spans="1:8" ht="30" customHeight="1" x14ac:dyDescent="0.25">
      <c r="A38" s="14" t="s">
        <v>562</v>
      </c>
      <c r="B38" s="14" t="s">
        <v>563</v>
      </c>
      <c r="C38" s="15" t="s">
        <v>569</v>
      </c>
      <c r="D38" s="16" t="s">
        <v>570</v>
      </c>
      <c r="E38" s="17">
        <v>2</v>
      </c>
      <c r="F38" s="18" t="s">
        <v>20</v>
      </c>
      <c r="G38" s="16" t="s">
        <v>566</v>
      </c>
      <c r="H38" s="16"/>
    </row>
    <row r="39" spans="1:8" ht="30" customHeight="1" x14ac:dyDescent="0.25">
      <c r="A39" s="19" t="s">
        <v>562</v>
      </c>
      <c r="B39" s="19" t="s">
        <v>563</v>
      </c>
      <c r="C39" s="20" t="s">
        <v>571</v>
      </c>
      <c r="D39" s="21" t="s">
        <v>572</v>
      </c>
      <c r="E39" s="17">
        <v>2</v>
      </c>
      <c r="F39" s="18" t="s">
        <v>20</v>
      </c>
      <c r="G39" s="21" t="s">
        <v>566</v>
      </c>
      <c r="H39" s="21"/>
    </row>
    <row r="40" spans="1:8" ht="30" customHeight="1" x14ac:dyDescent="0.25">
      <c r="A40" s="14" t="s">
        <v>562</v>
      </c>
      <c r="B40" s="14" t="s">
        <v>563</v>
      </c>
      <c r="C40" s="15" t="s">
        <v>573</v>
      </c>
      <c r="D40" s="16" t="s">
        <v>574</v>
      </c>
      <c r="E40" s="17">
        <v>2</v>
      </c>
      <c r="F40" s="18" t="s">
        <v>20</v>
      </c>
      <c r="G40" s="16" t="s">
        <v>566</v>
      </c>
      <c r="H40" s="16"/>
    </row>
    <row r="41" spans="1:8" ht="30" customHeight="1" x14ac:dyDescent="0.25">
      <c r="A41" s="19" t="s">
        <v>562</v>
      </c>
      <c r="B41" s="19" t="s">
        <v>563</v>
      </c>
      <c r="C41" s="20" t="s">
        <v>575</v>
      </c>
      <c r="D41" s="21" t="s">
        <v>576</v>
      </c>
      <c r="E41" s="23">
        <v>3</v>
      </c>
      <c r="F41" s="18" t="s">
        <v>20</v>
      </c>
      <c r="G41" s="21" t="s">
        <v>554</v>
      </c>
      <c r="H41" s="21"/>
    </row>
    <row r="42" spans="1:8" ht="30" customHeight="1" x14ac:dyDescent="0.25">
      <c r="A42" s="14" t="s">
        <v>562</v>
      </c>
      <c r="B42" s="14" t="s">
        <v>563</v>
      </c>
      <c r="C42" s="15" t="s">
        <v>577</v>
      </c>
      <c r="D42" s="16" t="s">
        <v>578</v>
      </c>
      <c r="E42" s="23">
        <v>3</v>
      </c>
      <c r="F42" s="18" t="s">
        <v>20</v>
      </c>
      <c r="G42" s="16" t="s">
        <v>579</v>
      </c>
      <c r="H42" s="16"/>
    </row>
    <row r="43" spans="1:8" ht="30" customHeight="1" x14ac:dyDescent="0.25">
      <c r="A43" s="19" t="s">
        <v>562</v>
      </c>
      <c r="B43" s="19" t="s">
        <v>563</v>
      </c>
      <c r="C43" s="20" t="s">
        <v>580</v>
      </c>
      <c r="D43" s="21" t="s">
        <v>581</v>
      </c>
      <c r="E43" s="23">
        <v>3</v>
      </c>
      <c r="F43" s="18" t="s">
        <v>20</v>
      </c>
      <c r="G43" s="21" t="s">
        <v>582</v>
      </c>
      <c r="H43" s="21"/>
    </row>
    <row r="44" spans="1:8" ht="18" customHeight="1" x14ac:dyDescent="0.25">
      <c r="A44" s="13" t="s">
        <v>583</v>
      </c>
      <c r="B44" s="13" t="s">
        <v>584</v>
      </c>
      <c r="C44" s="13"/>
      <c r="D44" s="13"/>
      <c r="E44" s="13"/>
      <c r="F44" s="13"/>
      <c r="G44" s="13"/>
      <c r="H44" s="13"/>
    </row>
    <row r="45" spans="1:8" ht="30" customHeight="1" x14ac:dyDescent="0.25">
      <c r="A45" s="14" t="s">
        <v>583</v>
      </c>
      <c r="B45" s="14" t="s">
        <v>584</v>
      </c>
      <c r="C45" s="15" t="s">
        <v>585</v>
      </c>
      <c r="D45" s="16" t="s">
        <v>586</v>
      </c>
      <c r="E45" s="17">
        <v>2</v>
      </c>
      <c r="F45" s="18" t="s">
        <v>20</v>
      </c>
      <c r="G45" s="16" t="s">
        <v>587</v>
      </c>
      <c r="H45" s="16"/>
    </row>
    <row r="46" spans="1:8" ht="30" customHeight="1" x14ac:dyDescent="0.25">
      <c r="A46" s="19" t="s">
        <v>583</v>
      </c>
      <c r="B46" s="19" t="s">
        <v>584</v>
      </c>
      <c r="C46" s="20" t="s">
        <v>588</v>
      </c>
      <c r="D46" s="21" t="s">
        <v>589</v>
      </c>
      <c r="E46" s="17">
        <v>2</v>
      </c>
      <c r="F46" s="18" t="s">
        <v>20</v>
      </c>
      <c r="G46" s="21" t="s">
        <v>587</v>
      </c>
      <c r="H46" s="21"/>
    </row>
    <row r="47" spans="1:8" ht="30" customHeight="1" x14ac:dyDescent="0.25">
      <c r="A47" s="14" t="s">
        <v>583</v>
      </c>
      <c r="B47" s="14" t="s">
        <v>584</v>
      </c>
      <c r="C47" s="15" t="s">
        <v>590</v>
      </c>
      <c r="D47" s="16" t="s">
        <v>591</v>
      </c>
      <c r="E47" s="17">
        <v>2</v>
      </c>
      <c r="F47" s="18" t="s">
        <v>20</v>
      </c>
      <c r="G47" s="16" t="s">
        <v>587</v>
      </c>
      <c r="H47" s="16"/>
    </row>
    <row r="48" spans="1:8" ht="30" customHeight="1" x14ac:dyDescent="0.25">
      <c r="A48" s="19" t="s">
        <v>583</v>
      </c>
      <c r="B48" s="19" t="s">
        <v>584</v>
      </c>
      <c r="C48" s="20" t="s">
        <v>592</v>
      </c>
      <c r="D48" s="21" t="s">
        <v>593</v>
      </c>
      <c r="E48" s="23">
        <v>3</v>
      </c>
      <c r="F48" s="18" t="s">
        <v>20</v>
      </c>
      <c r="G48" s="21" t="s">
        <v>594</v>
      </c>
      <c r="H48" s="21"/>
    </row>
    <row r="49" spans="1:8" ht="18" customHeight="1" x14ac:dyDescent="0.25">
      <c r="A49" s="13" t="s">
        <v>595</v>
      </c>
      <c r="B49" s="13" t="s">
        <v>596</v>
      </c>
      <c r="C49" s="13"/>
      <c r="D49" s="13"/>
      <c r="E49" s="13"/>
      <c r="F49" s="13"/>
      <c r="G49" s="13"/>
      <c r="H49" s="13"/>
    </row>
    <row r="50" spans="1:8" ht="30" customHeight="1" x14ac:dyDescent="0.25">
      <c r="A50" s="14" t="s">
        <v>595</v>
      </c>
      <c r="B50" s="14" t="s">
        <v>596</v>
      </c>
      <c r="C50" s="15" t="s">
        <v>597</v>
      </c>
      <c r="D50" s="16" t="s">
        <v>598</v>
      </c>
      <c r="E50" s="23">
        <v>3</v>
      </c>
      <c r="F50" s="18" t="s">
        <v>20</v>
      </c>
      <c r="G50" s="16" t="s">
        <v>599</v>
      </c>
      <c r="H50" s="16"/>
    </row>
    <row r="51" spans="1:8" ht="30" customHeight="1" x14ac:dyDescent="0.25">
      <c r="A51" s="19" t="s">
        <v>595</v>
      </c>
      <c r="B51" s="19" t="s">
        <v>596</v>
      </c>
      <c r="C51" s="20" t="s">
        <v>600</v>
      </c>
      <c r="D51" s="21" t="s">
        <v>601</v>
      </c>
      <c r="E51" s="23">
        <v>3</v>
      </c>
      <c r="F51" s="18" t="s">
        <v>20</v>
      </c>
      <c r="G51" s="21" t="s">
        <v>602</v>
      </c>
      <c r="H51" s="21"/>
    </row>
    <row r="52" spans="1:8" ht="18" customHeight="1" x14ac:dyDescent="0.25">
      <c r="A52" s="13" t="s">
        <v>603</v>
      </c>
      <c r="B52" s="13" t="s">
        <v>604</v>
      </c>
      <c r="C52" s="13"/>
      <c r="D52" s="13"/>
      <c r="E52" s="13"/>
      <c r="F52" s="13"/>
      <c r="G52" s="13"/>
      <c r="H52" s="13"/>
    </row>
    <row r="53" spans="1:8" ht="30" customHeight="1" x14ac:dyDescent="0.25">
      <c r="A53" s="14" t="s">
        <v>603</v>
      </c>
      <c r="B53" s="14" t="s">
        <v>604</v>
      </c>
      <c r="C53" s="15" t="s">
        <v>605</v>
      </c>
      <c r="D53" s="16" t="s">
        <v>606</v>
      </c>
      <c r="E53" s="17">
        <v>2</v>
      </c>
      <c r="F53" s="18" t="s">
        <v>20</v>
      </c>
      <c r="G53" s="16" t="s">
        <v>607</v>
      </c>
      <c r="H53" s="16"/>
    </row>
    <row r="54" spans="1:8" ht="30" customHeight="1" x14ac:dyDescent="0.25">
      <c r="A54" s="19" t="s">
        <v>603</v>
      </c>
      <c r="B54" s="19" t="s">
        <v>604</v>
      </c>
      <c r="C54" s="20" t="s">
        <v>608</v>
      </c>
      <c r="D54" s="21" t="s">
        <v>609</v>
      </c>
      <c r="E54" s="17">
        <v>2</v>
      </c>
      <c r="F54" s="18" t="s">
        <v>20</v>
      </c>
      <c r="G54" s="21" t="s">
        <v>610</v>
      </c>
      <c r="H54" s="21"/>
    </row>
    <row r="55" spans="1:8" ht="30" customHeight="1" x14ac:dyDescent="0.25">
      <c r="A55" s="14" t="s">
        <v>603</v>
      </c>
      <c r="B55" s="14" t="s">
        <v>604</v>
      </c>
      <c r="C55" s="15" t="s">
        <v>611</v>
      </c>
      <c r="D55" s="16" t="s">
        <v>612</v>
      </c>
      <c r="E55" s="17">
        <v>2</v>
      </c>
      <c r="F55" s="18" t="s">
        <v>20</v>
      </c>
      <c r="G55" s="16" t="s">
        <v>613</v>
      </c>
      <c r="H55" s="16"/>
    </row>
    <row r="56" spans="1:8" ht="30" customHeight="1" x14ac:dyDescent="0.25">
      <c r="A56" s="19" t="s">
        <v>603</v>
      </c>
      <c r="B56" s="19" t="s">
        <v>604</v>
      </c>
      <c r="C56" s="20" t="s">
        <v>614</v>
      </c>
      <c r="D56" s="21" t="s">
        <v>615</v>
      </c>
      <c r="E56" s="17">
        <v>2</v>
      </c>
      <c r="F56" s="18" t="s">
        <v>20</v>
      </c>
      <c r="G56" s="21" t="s">
        <v>616</v>
      </c>
      <c r="H56" s="21"/>
    </row>
  </sheetData>
  <conditionalFormatting sqref="F2:F5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56" xr:uid="{00000000-0002-0000-06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6"/>
  <sheetViews>
    <sheetView zoomScale="75" zoomScaleNormal="75" workbookViewId="0">
      <pane ySplit="1" topLeftCell="A2" activePane="bottomLeft" state="frozen"/>
      <selection pane="bottomLeft" activeCell="H14" sqref="H14"/>
    </sheetView>
  </sheetViews>
  <sheetFormatPr defaultColWidth="8.42578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2" t="s">
        <v>0</v>
      </c>
      <c r="B1" s="12" t="s">
        <v>1</v>
      </c>
      <c r="C1" s="12" t="s">
        <v>2</v>
      </c>
      <c r="D1" s="12" t="s">
        <v>3</v>
      </c>
      <c r="E1" s="12" t="s">
        <v>4</v>
      </c>
      <c r="F1" s="12" t="s">
        <v>5</v>
      </c>
      <c r="G1" s="12" t="s">
        <v>6</v>
      </c>
      <c r="H1" s="12" t="s">
        <v>7</v>
      </c>
    </row>
    <row r="2" spans="1:8" ht="18" customHeight="1" x14ac:dyDescent="0.25">
      <c r="A2" s="13" t="s">
        <v>617</v>
      </c>
      <c r="B2" s="13" t="s">
        <v>618</v>
      </c>
      <c r="C2" s="13"/>
      <c r="D2" s="13"/>
      <c r="E2" s="13"/>
      <c r="F2" s="13"/>
      <c r="G2" s="13"/>
      <c r="H2" s="13"/>
    </row>
    <row r="3" spans="1:8" ht="30" customHeight="1" x14ac:dyDescent="0.25">
      <c r="A3" s="14" t="s">
        <v>617</v>
      </c>
      <c r="B3" s="14" t="s">
        <v>618</v>
      </c>
      <c r="C3" s="15" t="s">
        <v>619</v>
      </c>
      <c r="D3" s="16" t="s">
        <v>620</v>
      </c>
      <c r="E3" s="17">
        <v>2</v>
      </c>
      <c r="F3" s="18" t="s">
        <v>418</v>
      </c>
      <c r="G3" s="16" t="s">
        <v>1276</v>
      </c>
      <c r="H3" s="16" t="s">
        <v>621</v>
      </c>
    </row>
    <row r="4" spans="1:8" ht="30" customHeight="1" x14ac:dyDescent="0.25">
      <c r="A4" s="19" t="s">
        <v>617</v>
      </c>
      <c r="B4" s="19" t="s">
        <v>618</v>
      </c>
      <c r="C4" s="20" t="s">
        <v>622</v>
      </c>
      <c r="D4" s="21" t="s">
        <v>623</v>
      </c>
      <c r="E4" s="17">
        <v>2</v>
      </c>
      <c r="F4" s="18" t="s">
        <v>12</v>
      </c>
      <c r="G4" s="21" t="s">
        <v>624</v>
      </c>
      <c r="H4" s="21" t="s">
        <v>625</v>
      </c>
    </row>
    <row r="5" spans="1:8" ht="30" customHeight="1" x14ac:dyDescent="0.25">
      <c r="A5" s="14" t="s">
        <v>617</v>
      </c>
      <c r="B5" s="14" t="s">
        <v>618</v>
      </c>
      <c r="C5" s="15" t="s">
        <v>626</v>
      </c>
      <c r="D5" s="16" t="s">
        <v>627</v>
      </c>
      <c r="E5" s="17">
        <v>2</v>
      </c>
      <c r="F5" s="18" t="s">
        <v>20</v>
      </c>
      <c r="G5" s="16" t="s">
        <v>628</v>
      </c>
      <c r="H5" s="16"/>
    </row>
    <row r="6" spans="1:8" ht="18" customHeight="1" x14ac:dyDescent="0.25">
      <c r="A6" s="13" t="s">
        <v>629</v>
      </c>
      <c r="B6" s="13" t="s">
        <v>630</v>
      </c>
      <c r="C6" s="13"/>
      <c r="D6" s="13"/>
      <c r="E6" s="13"/>
      <c r="F6" s="13"/>
      <c r="G6" s="13"/>
      <c r="H6" s="13"/>
    </row>
    <row r="7" spans="1:8" ht="30" customHeight="1" x14ac:dyDescent="0.25">
      <c r="A7" s="14" t="s">
        <v>629</v>
      </c>
      <c r="B7" s="14" t="s">
        <v>630</v>
      </c>
      <c r="C7" s="15" t="s">
        <v>631</v>
      </c>
      <c r="D7" s="16" t="s">
        <v>632</v>
      </c>
      <c r="E7" s="22">
        <v>1</v>
      </c>
      <c r="F7" s="18" t="s">
        <v>418</v>
      </c>
      <c r="G7" s="16" t="s">
        <v>1277</v>
      </c>
      <c r="H7" s="16" t="s">
        <v>633</v>
      </c>
    </row>
    <row r="8" spans="1:8" ht="30" customHeight="1" x14ac:dyDescent="0.25">
      <c r="A8" s="19" t="s">
        <v>629</v>
      </c>
      <c r="B8" s="19" t="s">
        <v>630</v>
      </c>
      <c r="C8" s="20" t="s">
        <v>634</v>
      </c>
      <c r="D8" s="21" t="s">
        <v>635</v>
      </c>
      <c r="E8" s="22">
        <v>1</v>
      </c>
      <c r="F8" s="18" t="s">
        <v>418</v>
      </c>
      <c r="G8" s="21" t="s">
        <v>1278</v>
      </c>
      <c r="H8" s="21" t="s">
        <v>29</v>
      </c>
    </row>
    <row r="9" spans="1:8" ht="30" customHeight="1" x14ac:dyDescent="0.25">
      <c r="A9" s="14" t="s">
        <v>629</v>
      </c>
      <c r="B9" s="14" t="s">
        <v>630</v>
      </c>
      <c r="C9" s="15" t="s">
        <v>636</v>
      </c>
      <c r="D9" s="16" t="s">
        <v>637</v>
      </c>
      <c r="E9" s="22">
        <v>1</v>
      </c>
      <c r="F9" s="18" t="s">
        <v>20</v>
      </c>
      <c r="G9" s="16" t="s">
        <v>638</v>
      </c>
      <c r="H9" s="16"/>
    </row>
    <row r="10" spans="1:8" ht="30" customHeight="1" x14ac:dyDescent="0.25">
      <c r="A10" s="19" t="s">
        <v>629</v>
      </c>
      <c r="B10" s="19" t="s">
        <v>630</v>
      </c>
      <c r="C10" s="20" t="s">
        <v>639</v>
      </c>
      <c r="D10" s="21" t="s">
        <v>640</v>
      </c>
      <c r="E10" s="22">
        <v>1</v>
      </c>
      <c r="F10" s="18" t="s">
        <v>710</v>
      </c>
      <c r="G10" s="21" t="s">
        <v>1279</v>
      </c>
      <c r="H10" s="21" t="s">
        <v>29</v>
      </c>
    </row>
    <row r="11" spans="1:8" ht="18" customHeight="1" x14ac:dyDescent="0.25">
      <c r="A11" s="13" t="s">
        <v>641</v>
      </c>
      <c r="B11" s="13" t="s">
        <v>642</v>
      </c>
      <c r="C11" s="13"/>
      <c r="D11" s="13"/>
      <c r="E11" s="13"/>
      <c r="F11" s="13"/>
      <c r="G11" s="13"/>
      <c r="H11" s="13"/>
    </row>
    <row r="12" spans="1:8" ht="30" customHeight="1" x14ac:dyDescent="0.25">
      <c r="A12" s="14" t="s">
        <v>641</v>
      </c>
      <c r="B12" s="14" t="s">
        <v>642</v>
      </c>
      <c r="C12" s="15" t="s">
        <v>643</v>
      </c>
      <c r="D12" s="16" t="s">
        <v>644</v>
      </c>
      <c r="E12" s="17">
        <v>2</v>
      </c>
      <c r="F12" s="18" t="s">
        <v>418</v>
      </c>
      <c r="G12" s="16" t="s">
        <v>645</v>
      </c>
      <c r="H12" s="16" t="s">
        <v>646</v>
      </c>
    </row>
    <row r="13" spans="1:8" ht="30" customHeight="1" x14ac:dyDescent="0.25">
      <c r="A13" s="19" t="s">
        <v>641</v>
      </c>
      <c r="B13" s="19" t="s">
        <v>642</v>
      </c>
      <c r="C13" s="20" t="s">
        <v>647</v>
      </c>
      <c r="D13" s="21" t="s">
        <v>648</v>
      </c>
      <c r="E13" s="17">
        <v>2</v>
      </c>
      <c r="F13" s="18" t="s">
        <v>418</v>
      </c>
      <c r="G13" s="21" t="s">
        <v>649</v>
      </c>
      <c r="H13" s="21" t="s">
        <v>621</v>
      </c>
    </row>
    <row r="14" spans="1:8" ht="18" customHeight="1" x14ac:dyDescent="0.25">
      <c r="A14" s="13" t="s">
        <v>650</v>
      </c>
      <c r="B14" s="13" t="s">
        <v>651</v>
      </c>
      <c r="C14" s="13"/>
      <c r="D14" s="13"/>
      <c r="E14" s="13"/>
      <c r="F14" s="13"/>
      <c r="G14" s="13"/>
      <c r="H14" s="13"/>
    </row>
    <row r="15" spans="1:8" ht="30" customHeight="1" x14ac:dyDescent="0.25">
      <c r="A15" s="14" t="s">
        <v>650</v>
      </c>
      <c r="B15" s="14" t="s">
        <v>651</v>
      </c>
      <c r="C15" s="15" t="s">
        <v>652</v>
      </c>
      <c r="D15" s="16" t="s">
        <v>653</v>
      </c>
      <c r="E15" s="22">
        <v>1</v>
      </c>
      <c r="F15" s="18" t="s">
        <v>418</v>
      </c>
      <c r="G15" s="16" t="s">
        <v>654</v>
      </c>
      <c r="H15" s="16" t="s">
        <v>655</v>
      </c>
    </row>
    <row r="16" spans="1:8" ht="30" customHeight="1" x14ac:dyDescent="0.25">
      <c r="A16" s="19" t="s">
        <v>650</v>
      </c>
      <c r="B16" s="19" t="s">
        <v>651</v>
      </c>
      <c r="C16" s="20" t="s">
        <v>656</v>
      </c>
      <c r="D16" s="21" t="s">
        <v>657</v>
      </c>
      <c r="E16" s="22">
        <v>1</v>
      </c>
      <c r="F16" s="18" t="s">
        <v>12</v>
      </c>
      <c r="G16" s="21" t="s">
        <v>658</v>
      </c>
      <c r="H16" s="21" t="s">
        <v>659</v>
      </c>
    </row>
    <row r="17" spans="1:8" ht="30" customHeight="1" x14ac:dyDescent="0.25">
      <c r="A17" s="14" t="s">
        <v>650</v>
      </c>
      <c r="B17" s="14" t="s">
        <v>651</v>
      </c>
      <c r="C17" s="15" t="s">
        <v>660</v>
      </c>
      <c r="D17" s="16" t="s">
        <v>661</v>
      </c>
      <c r="E17" s="17">
        <v>2</v>
      </c>
      <c r="F17" s="18" t="s">
        <v>12</v>
      </c>
      <c r="G17" s="16" t="s">
        <v>662</v>
      </c>
      <c r="H17" s="16" t="s">
        <v>663</v>
      </c>
    </row>
    <row r="18" spans="1:8" ht="30" customHeight="1" x14ac:dyDescent="0.25">
      <c r="A18" s="19" t="s">
        <v>650</v>
      </c>
      <c r="B18" s="19" t="s">
        <v>651</v>
      </c>
      <c r="C18" s="20" t="s">
        <v>664</v>
      </c>
      <c r="D18" s="21" t="s">
        <v>665</v>
      </c>
      <c r="E18" s="17">
        <v>2</v>
      </c>
      <c r="F18" s="18" t="s">
        <v>20</v>
      </c>
      <c r="G18" s="21" t="s">
        <v>666</v>
      </c>
      <c r="H18" s="21"/>
    </row>
    <row r="19" spans="1:8" ht="30" customHeight="1" x14ac:dyDescent="0.25">
      <c r="A19" s="14" t="s">
        <v>650</v>
      </c>
      <c r="B19" s="14" t="s">
        <v>651</v>
      </c>
      <c r="C19" s="15" t="s">
        <v>667</v>
      </c>
      <c r="D19" s="16" t="s">
        <v>668</v>
      </c>
      <c r="E19" s="17">
        <v>2</v>
      </c>
      <c r="F19" s="18" t="s">
        <v>12</v>
      </c>
      <c r="G19" s="16" t="s">
        <v>669</v>
      </c>
      <c r="H19" s="16" t="s">
        <v>670</v>
      </c>
    </row>
    <row r="20" spans="1:8" ht="18" customHeight="1" x14ac:dyDescent="0.25">
      <c r="A20" s="13" t="s">
        <v>671</v>
      </c>
      <c r="B20" s="13" t="s">
        <v>672</v>
      </c>
      <c r="C20" s="13"/>
      <c r="D20" s="13"/>
      <c r="E20" s="13"/>
      <c r="F20" s="13"/>
      <c r="G20" s="13"/>
      <c r="H20" s="13"/>
    </row>
    <row r="21" spans="1:8" ht="30" customHeight="1" x14ac:dyDescent="0.25">
      <c r="A21" s="14" t="s">
        <v>671</v>
      </c>
      <c r="B21" s="14" t="s">
        <v>672</v>
      </c>
      <c r="C21" s="15" t="s">
        <v>673</v>
      </c>
      <c r="D21" s="16" t="s">
        <v>674</v>
      </c>
      <c r="E21" s="17">
        <v>2</v>
      </c>
      <c r="F21" s="18" t="s">
        <v>12</v>
      </c>
      <c r="G21" s="16" t="s">
        <v>675</v>
      </c>
      <c r="H21" s="16" t="s">
        <v>468</v>
      </c>
    </row>
    <row r="22" spans="1:8" ht="30" customHeight="1" x14ac:dyDescent="0.25">
      <c r="A22" s="19" t="s">
        <v>671</v>
      </c>
      <c r="B22" s="19" t="s">
        <v>672</v>
      </c>
      <c r="C22" s="20" t="s">
        <v>676</v>
      </c>
      <c r="D22" s="21" t="s">
        <v>677</v>
      </c>
      <c r="E22" s="17">
        <v>2</v>
      </c>
      <c r="F22" s="18" t="s">
        <v>12</v>
      </c>
      <c r="G22" s="21" t="s">
        <v>678</v>
      </c>
      <c r="H22" s="21" t="s">
        <v>679</v>
      </c>
    </row>
    <row r="23" spans="1:8" ht="30" customHeight="1" x14ac:dyDescent="0.25">
      <c r="A23" s="14" t="s">
        <v>671</v>
      </c>
      <c r="B23" s="14" t="s">
        <v>672</v>
      </c>
      <c r="C23" s="15" t="s">
        <v>680</v>
      </c>
      <c r="D23" s="16" t="s">
        <v>681</v>
      </c>
      <c r="E23" s="23">
        <v>3</v>
      </c>
      <c r="F23" s="18" t="s">
        <v>12</v>
      </c>
      <c r="G23" s="16" t="s">
        <v>682</v>
      </c>
      <c r="H23" s="16" t="s">
        <v>683</v>
      </c>
    </row>
    <row r="24" spans="1:8" ht="18" customHeight="1" x14ac:dyDescent="0.25">
      <c r="A24" s="13" t="s">
        <v>684</v>
      </c>
      <c r="B24" s="13" t="s">
        <v>685</v>
      </c>
      <c r="C24" s="13"/>
      <c r="D24" s="13"/>
      <c r="E24" s="13"/>
      <c r="F24" s="13"/>
      <c r="G24" s="13"/>
      <c r="H24" s="13"/>
    </row>
    <row r="25" spans="1:8" ht="30" customHeight="1" x14ac:dyDescent="0.25">
      <c r="A25" s="14" t="s">
        <v>684</v>
      </c>
      <c r="B25" s="14" t="s">
        <v>685</v>
      </c>
      <c r="C25" s="15" t="s">
        <v>686</v>
      </c>
      <c r="D25" s="16" t="s">
        <v>687</v>
      </c>
      <c r="E25" s="17">
        <v>2</v>
      </c>
      <c r="F25" s="18" t="s">
        <v>20</v>
      </c>
      <c r="G25" s="16" t="s">
        <v>688</v>
      </c>
      <c r="H25" s="16"/>
    </row>
    <row r="26" spans="1:8" ht="30" customHeight="1" x14ac:dyDescent="0.25">
      <c r="A26" s="19" t="s">
        <v>684</v>
      </c>
      <c r="B26" s="19" t="s">
        <v>685</v>
      </c>
      <c r="C26" s="20" t="s">
        <v>689</v>
      </c>
      <c r="D26" s="21" t="s">
        <v>690</v>
      </c>
      <c r="E26" s="17">
        <v>2</v>
      </c>
      <c r="F26" s="18" t="s">
        <v>20</v>
      </c>
      <c r="G26" s="21" t="s">
        <v>628</v>
      </c>
      <c r="H26" s="21"/>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7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8"/>
  <sheetViews>
    <sheetView topLeftCell="D1" zoomScale="75" zoomScaleNormal="75" workbookViewId="0">
      <pane ySplit="1" topLeftCell="A2" activePane="bottomLeft" state="frozen"/>
      <selection pane="bottomLeft" activeCell="H10" sqref="H10"/>
    </sheetView>
  </sheetViews>
  <sheetFormatPr defaultColWidth="8.42578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2" t="s">
        <v>0</v>
      </c>
      <c r="B1" s="12" t="s">
        <v>1</v>
      </c>
      <c r="C1" s="12" t="s">
        <v>2</v>
      </c>
      <c r="D1" s="12" t="s">
        <v>3</v>
      </c>
      <c r="E1" s="12" t="s">
        <v>4</v>
      </c>
      <c r="F1" s="12" t="s">
        <v>5</v>
      </c>
      <c r="G1" s="12" t="s">
        <v>6</v>
      </c>
      <c r="H1" s="12" t="s">
        <v>7</v>
      </c>
    </row>
    <row r="2" spans="1:8" ht="18" customHeight="1" x14ac:dyDescent="0.25">
      <c r="A2" s="13" t="s">
        <v>691</v>
      </c>
      <c r="B2" s="13" t="s">
        <v>692</v>
      </c>
      <c r="C2" s="13"/>
      <c r="D2" s="13"/>
      <c r="E2" s="13"/>
      <c r="F2" s="13"/>
      <c r="G2" s="13"/>
      <c r="H2" s="13"/>
    </row>
    <row r="3" spans="1:8" ht="30" customHeight="1" x14ac:dyDescent="0.25">
      <c r="A3" s="14" t="s">
        <v>691</v>
      </c>
      <c r="B3" s="14" t="s">
        <v>692</v>
      </c>
      <c r="C3" s="15" t="s">
        <v>693</v>
      </c>
      <c r="D3" s="16" t="s">
        <v>694</v>
      </c>
      <c r="E3" s="22">
        <v>1</v>
      </c>
      <c r="F3" s="18" t="s">
        <v>418</v>
      </c>
      <c r="G3" s="16" t="s">
        <v>695</v>
      </c>
      <c r="H3" s="16" t="s">
        <v>696</v>
      </c>
    </row>
    <row r="4" spans="1:8" ht="30" customHeight="1" x14ac:dyDescent="0.25">
      <c r="A4" s="19" t="s">
        <v>691</v>
      </c>
      <c r="B4" s="19" t="s">
        <v>692</v>
      </c>
      <c r="C4" s="20" t="s">
        <v>697</v>
      </c>
      <c r="D4" s="21" t="s">
        <v>698</v>
      </c>
      <c r="E4" s="17">
        <v>2</v>
      </c>
      <c r="F4" s="18" t="s">
        <v>710</v>
      </c>
      <c r="G4" s="21" t="s">
        <v>1280</v>
      </c>
      <c r="H4" s="21" t="s">
        <v>699</v>
      </c>
    </row>
    <row r="5" spans="1:8" ht="30" customHeight="1" x14ac:dyDescent="0.25">
      <c r="A5" s="14" t="s">
        <v>691</v>
      </c>
      <c r="B5" s="14" t="s">
        <v>692</v>
      </c>
      <c r="C5" s="15" t="s">
        <v>700</v>
      </c>
      <c r="D5" s="16" t="s">
        <v>701</v>
      </c>
      <c r="E5" s="23">
        <v>3</v>
      </c>
      <c r="F5" s="18" t="s">
        <v>20</v>
      </c>
      <c r="G5" s="16" t="s">
        <v>702</v>
      </c>
      <c r="H5" s="16"/>
    </row>
    <row r="6" spans="1:8" ht="30" customHeight="1" x14ac:dyDescent="0.25">
      <c r="A6" s="19" t="s">
        <v>691</v>
      </c>
      <c r="B6" s="19" t="s">
        <v>692</v>
      </c>
      <c r="C6" s="20" t="s">
        <v>703</v>
      </c>
      <c r="D6" s="21" t="s">
        <v>704</v>
      </c>
      <c r="E6" s="23">
        <v>3</v>
      </c>
      <c r="F6" s="18" t="s">
        <v>20</v>
      </c>
      <c r="G6" s="21" t="s">
        <v>705</v>
      </c>
      <c r="H6" s="21"/>
    </row>
    <row r="7" spans="1:8" ht="18" customHeight="1" x14ac:dyDescent="0.25">
      <c r="A7" s="13" t="s">
        <v>706</v>
      </c>
      <c r="B7" s="13" t="s">
        <v>707</v>
      </c>
      <c r="C7" s="13"/>
      <c r="D7" s="13"/>
      <c r="E7" s="13"/>
      <c r="F7" s="13"/>
      <c r="G7" s="13"/>
      <c r="H7" s="13"/>
    </row>
    <row r="8" spans="1:8" ht="30" customHeight="1" x14ac:dyDescent="0.25">
      <c r="A8" s="14" t="s">
        <v>706</v>
      </c>
      <c r="B8" s="14" t="s">
        <v>707</v>
      </c>
      <c r="C8" s="15" t="s">
        <v>708</v>
      </c>
      <c r="D8" s="16" t="s">
        <v>709</v>
      </c>
      <c r="E8" s="22">
        <v>1</v>
      </c>
      <c r="F8" s="18" t="s">
        <v>710</v>
      </c>
      <c r="G8" s="16" t="s">
        <v>711</v>
      </c>
      <c r="H8" s="16" t="s">
        <v>712</v>
      </c>
    </row>
    <row r="9" spans="1:8" ht="30" customHeight="1" x14ac:dyDescent="0.25">
      <c r="A9" s="19" t="s">
        <v>706</v>
      </c>
      <c r="B9" s="19" t="s">
        <v>707</v>
      </c>
      <c r="C9" s="20" t="s">
        <v>713</v>
      </c>
      <c r="D9" s="21" t="s">
        <v>714</v>
      </c>
      <c r="E9" s="22">
        <v>1</v>
      </c>
      <c r="F9" s="18" t="s">
        <v>418</v>
      </c>
      <c r="G9" s="21" t="s">
        <v>1281</v>
      </c>
      <c r="H9" s="21" t="s">
        <v>715</v>
      </c>
    </row>
    <row r="10" spans="1:8" ht="30" customHeight="1" x14ac:dyDescent="0.25">
      <c r="A10" s="14" t="s">
        <v>706</v>
      </c>
      <c r="B10" s="14" t="s">
        <v>707</v>
      </c>
      <c r="C10" s="15" t="s">
        <v>716</v>
      </c>
      <c r="D10" s="16" t="s">
        <v>717</v>
      </c>
      <c r="E10" s="17">
        <v>2</v>
      </c>
      <c r="F10" s="18" t="s">
        <v>418</v>
      </c>
      <c r="G10" s="16" t="s">
        <v>1282</v>
      </c>
      <c r="H10" s="16" t="s">
        <v>718</v>
      </c>
    </row>
    <row r="11" spans="1:8" ht="30" customHeight="1" x14ac:dyDescent="0.25">
      <c r="A11" s="19" t="s">
        <v>706</v>
      </c>
      <c r="B11" s="19" t="s">
        <v>707</v>
      </c>
      <c r="C11" s="20" t="s">
        <v>719</v>
      </c>
      <c r="D11" s="21" t="s">
        <v>720</v>
      </c>
      <c r="E11" s="23">
        <v>3</v>
      </c>
      <c r="F11" s="18" t="s">
        <v>20</v>
      </c>
      <c r="G11" s="21" t="s">
        <v>721</v>
      </c>
      <c r="H11" s="21"/>
    </row>
    <row r="12" spans="1:8" ht="18" customHeight="1" x14ac:dyDescent="0.25">
      <c r="A12" s="13" t="s">
        <v>722</v>
      </c>
      <c r="B12" s="13" t="s">
        <v>723</v>
      </c>
      <c r="C12" s="13"/>
      <c r="D12" s="13"/>
      <c r="E12" s="13"/>
      <c r="F12" s="13"/>
      <c r="G12" s="13"/>
      <c r="H12" s="13"/>
    </row>
    <row r="13" spans="1:8" ht="30" customHeight="1" x14ac:dyDescent="0.25">
      <c r="A13" s="14" t="s">
        <v>722</v>
      </c>
      <c r="B13" s="14" t="s">
        <v>723</v>
      </c>
      <c r="C13" s="15" t="s">
        <v>724</v>
      </c>
      <c r="D13" s="16" t="s">
        <v>725</v>
      </c>
      <c r="E13" s="22">
        <v>1</v>
      </c>
      <c r="F13" s="18" t="s">
        <v>418</v>
      </c>
      <c r="G13" s="16" t="s">
        <v>1283</v>
      </c>
      <c r="H13" s="16" t="s">
        <v>726</v>
      </c>
    </row>
    <row r="14" spans="1:8" ht="30" customHeight="1" x14ac:dyDescent="0.25">
      <c r="A14" s="19" t="s">
        <v>722</v>
      </c>
      <c r="B14" s="19" t="s">
        <v>723</v>
      </c>
      <c r="C14" s="20" t="s">
        <v>727</v>
      </c>
      <c r="D14" s="21" t="s">
        <v>728</v>
      </c>
      <c r="E14" s="23">
        <v>3</v>
      </c>
      <c r="F14" s="18" t="s">
        <v>710</v>
      </c>
      <c r="G14" s="21" t="s">
        <v>1284</v>
      </c>
      <c r="H14" s="21" t="s">
        <v>729</v>
      </c>
    </row>
    <row r="15" spans="1:8" ht="30" customHeight="1" x14ac:dyDescent="0.25">
      <c r="A15" s="14" t="s">
        <v>722</v>
      </c>
      <c r="B15" s="14" t="s">
        <v>723</v>
      </c>
      <c r="C15" s="15" t="s">
        <v>730</v>
      </c>
      <c r="D15" s="16" t="s">
        <v>731</v>
      </c>
      <c r="E15" s="23">
        <v>3</v>
      </c>
      <c r="F15" s="18" t="s">
        <v>418</v>
      </c>
      <c r="G15" s="16" t="s">
        <v>1285</v>
      </c>
      <c r="H15" s="16" t="s">
        <v>732</v>
      </c>
    </row>
    <row r="16" spans="1:8" ht="18" customHeight="1" x14ac:dyDescent="0.25">
      <c r="A16" s="13" t="s">
        <v>733</v>
      </c>
      <c r="B16" s="13" t="s">
        <v>734</v>
      </c>
      <c r="C16" s="13"/>
      <c r="D16" s="13"/>
      <c r="E16" s="13"/>
      <c r="F16" s="13"/>
      <c r="G16" s="13"/>
      <c r="H16" s="13"/>
    </row>
    <row r="17" spans="1:8" ht="30" customHeight="1" x14ac:dyDescent="0.25">
      <c r="A17" s="14" t="s">
        <v>733</v>
      </c>
      <c r="B17" s="14" t="s">
        <v>734</v>
      </c>
      <c r="C17" s="15" t="s">
        <v>735</v>
      </c>
      <c r="D17" s="16" t="s">
        <v>736</v>
      </c>
      <c r="E17" s="17">
        <v>2</v>
      </c>
      <c r="F17" s="18" t="s">
        <v>20</v>
      </c>
      <c r="G17" s="16" t="s">
        <v>737</v>
      </c>
      <c r="H17" s="16"/>
    </row>
    <row r="18" spans="1:8" ht="30" customHeight="1" x14ac:dyDescent="0.25">
      <c r="A18" s="19" t="s">
        <v>733</v>
      </c>
      <c r="B18" s="19" t="s">
        <v>734</v>
      </c>
      <c r="C18" s="20" t="s">
        <v>738</v>
      </c>
      <c r="D18" s="21" t="s">
        <v>739</v>
      </c>
      <c r="E18" s="23">
        <v>3</v>
      </c>
      <c r="F18" s="18" t="s">
        <v>12</v>
      </c>
      <c r="G18" s="21" t="s">
        <v>740</v>
      </c>
      <c r="H18" s="21" t="s">
        <v>696</v>
      </c>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8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0"/>
  <sheetViews>
    <sheetView topLeftCell="D1" zoomScale="75" zoomScaleNormal="75" workbookViewId="0">
      <pane ySplit="1" topLeftCell="A2" activePane="bottomLeft" state="frozen"/>
      <selection pane="bottomLeft" activeCell="H7" sqref="H7"/>
    </sheetView>
  </sheetViews>
  <sheetFormatPr defaultColWidth="8.42578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2" t="s">
        <v>0</v>
      </c>
      <c r="B1" s="12" t="s">
        <v>1</v>
      </c>
      <c r="C1" s="12" t="s">
        <v>2</v>
      </c>
      <c r="D1" s="12" t="s">
        <v>3</v>
      </c>
      <c r="E1" s="12" t="s">
        <v>4</v>
      </c>
      <c r="F1" s="12" t="s">
        <v>5</v>
      </c>
      <c r="G1" s="12" t="s">
        <v>6</v>
      </c>
      <c r="H1" s="12" t="s">
        <v>7</v>
      </c>
    </row>
    <row r="2" spans="1:8" ht="18" customHeight="1" x14ac:dyDescent="0.25">
      <c r="A2" s="13" t="s">
        <v>741</v>
      </c>
      <c r="B2" s="13" t="s">
        <v>742</v>
      </c>
      <c r="C2" s="13"/>
      <c r="D2" s="13"/>
      <c r="E2" s="13"/>
      <c r="F2" s="13"/>
      <c r="G2" s="13"/>
      <c r="H2" s="13"/>
    </row>
    <row r="3" spans="1:8" ht="30" customHeight="1" x14ac:dyDescent="0.25">
      <c r="A3" s="14" t="s">
        <v>741</v>
      </c>
      <c r="B3" s="14" t="s">
        <v>742</v>
      </c>
      <c r="C3" s="15" t="s">
        <v>743</v>
      </c>
      <c r="D3" s="16" t="s">
        <v>744</v>
      </c>
      <c r="E3" s="22">
        <v>1</v>
      </c>
      <c r="F3" s="18" t="s">
        <v>418</v>
      </c>
      <c r="G3" s="16" t="s">
        <v>1286</v>
      </c>
      <c r="H3" s="16" t="s">
        <v>745</v>
      </c>
    </row>
    <row r="4" spans="1:8" ht="30" customHeight="1" x14ac:dyDescent="0.25">
      <c r="A4" s="19" t="s">
        <v>741</v>
      </c>
      <c r="B4" s="19" t="s">
        <v>742</v>
      </c>
      <c r="C4" s="20" t="s">
        <v>746</v>
      </c>
      <c r="D4" s="21" t="s">
        <v>747</v>
      </c>
      <c r="E4" s="22">
        <v>1</v>
      </c>
      <c r="F4" s="18" t="s">
        <v>418</v>
      </c>
      <c r="G4" s="21" t="s">
        <v>1287</v>
      </c>
      <c r="H4" s="21" t="s">
        <v>748</v>
      </c>
    </row>
    <row r="5" spans="1:8" ht="30" customHeight="1" x14ac:dyDescent="0.25">
      <c r="A5" s="14" t="s">
        <v>741</v>
      </c>
      <c r="B5" s="14" t="s">
        <v>742</v>
      </c>
      <c r="C5" s="15" t="s">
        <v>749</v>
      </c>
      <c r="D5" s="16" t="s">
        <v>750</v>
      </c>
      <c r="E5" s="22">
        <v>1</v>
      </c>
      <c r="F5" s="18" t="s">
        <v>418</v>
      </c>
      <c r="G5" s="16" t="s">
        <v>1288</v>
      </c>
      <c r="H5" s="16" t="s">
        <v>751</v>
      </c>
    </row>
    <row r="6" spans="1:8" ht="18" customHeight="1" x14ac:dyDescent="0.25">
      <c r="A6" s="13" t="s">
        <v>752</v>
      </c>
      <c r="B6" s="13" t="s">
        <v>753</v>
      </c>
      <c r="C6" s="13"/>
      <c r="D6" s="13"/>
      <c r="E6" s="13"/>
      <c r="F6" s="13"/>
      <c r="G6" s="13"/>
      <c r="H6" s="13"/>
    </row>
    <row r="7" spans="1:8" ht="30" customHeight="1" x14ac:dyDescent="0.25">
      <c r="A7" s="14" t="s">
        <v>752</v>
      </c>
      <c r="B7" s="14" t="s">
        <v>753</v>
      </c>
      <c r="C7" s="15" t="s">
        <v>754</v>
      </c>
      <c r="D7" s="16" t="s">
        <v>755</v>
      </c>
      <c r="E7" s="22">
        <v>1</v>
      </c>
      <c r="F7" s="18" t="s">
        <v>418</v>
      </c>
      <c r="G7" s="16" t="s">
        <v>756</v>
      </c>
      <c r="H7" s="16" t="s">
        <v>757</v>
      </c>
    </row>
    <row r="8" spans="1:8" ht="30" customHeight="1" x14ac:dyDescent="0.25">
      <c r="A8" s="19" t="s">
        <v>752</v>
      </c>
      <c r="B8" s="19" t="s">
        <v>753</v>
      </c>
      <c r="C8" s="20" t="s">
        <v>758</v>
      </c>
      <c r="D8" s="21" t="s">
        <v>759</v>
      </c>
      <c r="E8" s="17">
        <v>2</v>
      </c>
      <c r="F8" s="18" t="s">
        <v>20</v>
      </c>
      <c r="G8" s="21" t="s">
        <v>1289</v>
      </c>
      <c r="H8" s="21" t="s">
        <v>633</v>
      </c>
    </row>
    <row r="9" spans="1:8" ht="30" customHeight="1" x14ac:dyDescent="0.25">
      <c r="A9" s="14" t="s">
        <v>752</v>
      </c>
      <c r="B9" s="14" t="s">
        <v>753</v>
      </c>
      <c r="C9" s="15" t="s">
        <v>760</v>
      </c>
      <c r="D9" s="16" t="s">
        <v>761</v>
      </c>
      <c r="E9" s="17">
        <v>2</v>
      </c>
      <c r="F9" s="18" t="s">
        <v>20</v>
      </c>
      <c r="G9" s="16" t="s">
        <v>1290</v>
      </c>
      <c r="H9" s="16" t="s">
        <v>633</v>
      </c>
    </row>
    <row r="10" spans="1:8" ht="30" customHeight="1" x14ac:dyDescent="0.25">
      <c r="A10" s="19" t="s">
        <v>752</v>
      </c>
      <c r="B10" s="19" t="s">
        <v>753</v>
      </c>
      <c r="C10" s="20" t="s">
        <v>762</v>
      </c>
      <c r="D10" s="21" t="s">
        <v>763</v>
      </c>
      <c r="E10" s="17">
        <v>2</v>
      </c>
      <c r="F10" s="18" t="s">
        <v>20</v>
      </c>
      <c r="G10" s="21" t="s">
        <v>1291</v>
      </c>
      <c r="H10" s="21" t="s">
        <v>29</v>
      </c>
    </row>
  </sheetData>
  <conditionalFormatting sqref="F2:F10">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0" xr:uid="{00000000-0002-0000-09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4"/>
  <sheetViews>
    <sheetView zoomScale="35" zoomScaleNormal="75" workbookViewId="0">
      <pane ySplit="1" topLeftCell="A2" activePane="bottomLeft" state="frozen"/>
      <selection pane="bottomLeft"/>
    </sheetView>
  </sheetViews>
  <sheetFormatPr defaultColWidth="8.42578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2" t="s">
        <v>0</v>
      </c>
      <c r="B1" s="12" t="s">
        <v>1</v>
      </c>
      <c r="C1" s="12" t="s">
        <v>2</v>
      </c>
      <c r="D1" s="12" t="s">
        <v>3</v>
      </c>
      <c r="E1" s="12" t="s">
        <v>4</v>
      </c>
      <c r="F1" s="12" t="s">
        <v>5</v>
      </c>
      <c r="G1" s="12" t="s">
        <v>6</v>
      </c>
      <c r="H1" s="12" t="s">
        <v>7</v>
      </c>
    </row>
    <row r="2" spans="1:8" ht="18" customHeight="1" x14ac:dyDescent="0.25">
      <c r="A2" s="13" t="s">
        <v>764</v>
      </c>
      <c r="B2" s="13" t="s">
        <v>765</v>
      </c>
      <c r="C2" s="13"/>
      <c r="D2" s="13"/>
      <c r="E2" s="13"/>
      <c r="F2" s="13"/>
      <c r="G2" s="13"/>
      <c r="H2" s="13"/>
    </row>
    <row r="3" spans="1:8" ht="30" customHeight="1" x14ac:dyDescent="0.25">
      <c r="A3" s="14" t="s">
        <v>764</v>
      </c>
      <c r="B3" s="14" t="s">
        <v>765</v>
      </c>
      <c r="C3" s="15" t="s">
        <v>766</v>
      </c>
      <c r="D3" s="16" t="s">
        <v>767</v>
      </c>
      <c r="E3" s="17">
        <v>2</v>
      </c>
      <c r="F3" s="18" t="s">
        <v>20</v>
      </c>
      <c r="G3" s="16" t="s">
        <v>768</v>
      </c>
      <c r="H3" s="16"/>
    </row>
    <row r="4" spans="1:8" ht="30" customHeight="1" x14ac:dyDescent="0.25">
      <c r="A4" s="19" t="s">
        <v>764</v>
      </c>
      <c r="B4" s="19" t="s">
        <v>765</v>
      </c>
      <c r="C4" s="20" t="s">
        <v>769</v>
      </c>
      <c r="D4" s="21" t="s">
        <v>770</v>
      </c>
      <c r="E4" s="17">
        <v>2</v>
      </c>
      <c r="F4" s="18" t="s">
        <v>20</v>
      </c>
      <c r="G4" s="21" t="s">
        <v>771</v>
      </c>
      <c r="H4" s="21"/>
    </row>
    <row r="5" spans="1:8" ht="18" customHeight="1" x14ac:dyDescent="0.25">
      <c r="A5" s="13" t="s">
        <v>772</v>
      </c>
      <c r="B5" s="13" t="s">
        <v>773</v>
      </c>
      <c r="C5" s="13"/>
      <c r="D5" s="13"/>
      <c r="E5" s="13"/>
      <c r="F5" s="13"/>
      <c r="G5" s="13"/>
      <c r="H5" s="13"/>
    </row>
    <row r="6" spans="1:8" ht="30" customHeight="1" x14ac:dyDescent="0.25">
      <c r="A6" s="14" t="s">
        <v>772</v>
      </c>
      <c r="B6" s="14" t="s">
        <v>773</v>
      </c>
      <c r="C6" s="15" t="s">
        <v>774</v>
      </c>
      <c r="D6" s="16" t="s">
        <v>775</v>
      </c>
      <c r="E6" s="17">
        <v>2</v>
      </c>
      <c r="F6" s="18" t="s">
        <v>20</v>
      </c>
      <c r="G6" s="16" t="s">
        <v>776</v>
      </c>
      <c r="H6" s="16"/>
    </row>
    <row r="7" spans="1:8" ht="30" customHeight="1" x14ac:dyDescent="0.25">
      <c r="A7" s="19" t="s">
        <v>772</v>
      </c>
      <c r="B7" s="19" t="s">
        <v>773</v>
      </c>
      <c r="C7" s="20" t="s">
        <v>777</v>
      </c>
      <c r="D7" s="21" t="s">
        <v>778</v>
      </c>
      <c r="E7" s="17">
        <v>2</v>
      </c>
      <c r="F7" s="18" t="s">
        <v>20</v>
      </c>
      <c r="G7" s="21" t="s">
        <v>776</v>
      </c>
      <c r="H7" s="21"/>
    </row>
    <row r="8" spans="1:8" ht="30" customHeight="1" x14ac:dyDescent="0.25">
      <c r="A8" s="14" t="s">
        <v>772</v>
      </c>
      <c r="B8" s="14" t="s">
        <v>773</v>
      </c>
      <c r="C8" s="15" t="s">
        <v>779</v>
      </c>
      <c r="D8" s="16" t="s">
        <v>780</v>
      </c>
      <c r="E8" s="23">
        <v>3</v>
      </c>
      <c r="F8" s="18" t="s">
        <v>20</v>
      </c>
      <c r="G8" s="16" t="s">
        <v>781</v>
      </c>
      <c r="H8" s="16"/>
    </row>
    <row r="9" spans="1:8" ht="18" customHeight="1" x14ac:dyDescent="0.25">
      <c r="A9" s="13" t="s">
        <v>782</v>
      </c>
      <c r="B9" s="13" t="s">
        <v>783</v>
      </c>
      <c r="C9" s="13"/>
      <c r="D9" s="13"/>
      <c r="E9" s="13"/>
      <c r="F9" s="13"/>
      <c r="G9" s="13"/>
      <c r="H9" s="13"/>
    </row>
    <row r="10" spans="1:8" ht="30" customHeight="1" x14ac:dyDescent="0.25">
      <c r="A10" s="14" t="s">
        <v>782</v>
      </c>
      <c r="B10" s="14" t="s">
        <v>783</v>
      </c>
      <c r="C10" s="15" t="s">
        <v>784</v>
      </c>
      <c r="D10" s="16" t="s">
        <v>785</v>
      </c>
      <c r="E10" s="17">
        <v>2</v>
      </c>
      <c r="F10" s="18" t="s">
        <v>20</v>
      </c>
      <c r="G10" s="16" t="s">
        <v>786</v>
      </c>
      <c r="H10" s="16"/>
    </row>
    <row r="11" spans="1:8" ht="30" customHeight="1" x14ac:dyDescent="0.25">
      <c r="A11" s="19" t="s">
        <v>782</v>
      </c>
      <c r="B11" s="19" t="s">
        <v>783</v>
      </c>
      <c r="C11" s="20" t="s">
        <v>787</v>
      </c>
      <c r="D11" s="21" t="s">
        <v>788</v>
      </c>
      <c r="E11" s="17">
        <v>2</v>
      </c>
      <c r="F11" s="18" t="s">
        <v>20</v>
      </c>
      <c r="G11" s="21" t="s">
        <v>789</v>
      </c>
      <c r="H11" s="21"/>
    </row>
    <row r="12" spans="1:8" ht="30" customHeight="1" x14ac:dyDescent="0.25">
      <c r="A12" s="14" t="s">
        <v>782</v>
      </c>
      <c r="B12" s="14" t="s">
        <v>783</v>
      </c>
      <c r="C12" s="15" t="s">
        <v>790</v>
      </c>
      <c r="D12" s="16" t="s">
        <v>791</v>
      </c>
      <c r="E12" s="17">
        <v>2</v>
      </c>
      <c r="F12" s="18" t="s">
        <v>20</v>
      </c>
      <c r="G12" s="16" t="s">
        <v>792</v>
      </c>
      <c r="H12" s="16"/>
    </row>
    <row r="13" spans="1:8" ht="30" customHeight="1" x14ac:dyDescent="0.25">
      <c r="A13" s="19" t="s">
        <v>782</v>
      </c>
      <c r="B13" s="19" t="s">
        <v>783</v>
      </c>
      <c r="C13" s="20" t="s">
        <v>793</v>
      </c>
      <c r="D13" s="21" t="s">
        <v>794</v>
      </c>
      <c r="E13" s="17">
        <v>2</v>
      </c>
      <c r="F13" s="18" t="s">
        <v>20</v>
      </c>
      <c r="G13" s="21" t="s">
        <v>789</v>
      </c>
      <c r="H13" s="21"/>
    </row>
    <row r="14" spans="1:8" ht="30" customHeight="1" x14ac:dyDescent="0.25">
      <c r="A14" s="14" t="s">
        <v>782</v>
      </c>
      <c r="B14" s="14" t="s">
        <v>783</v>
      </c>
      <c r="C14" s="15" t="s">
        <v>795</v>
      </c>
      <c r="D14" s="16" t="s">
        <v>796</v>
      </c>
      <c r="E14" s="23">
        <v>3</v>
      </c>
      <c r="F14" s="18" t="s">
        <v>20</v>
      </c>
      <c r="G14" s="16" t="s">
        <v>789</v>
      </c>
      <c r="H14" s="16"/>
    </row>
    <row r="15" spans="1:8" ht="18" customHeight="1" x14ac:dyDescent="0.25">
      <c r="A15" s="13" t="s">
        <v>797</v>
      </c>
      <c r="B15" s="13" t="s">
        <v>798</v>
      </c>
      <c r="C15" s="13"/>
      <c r="D15" s="13"/>
      <c r="E15" s="13"/>
      <c r="F15" s="13"/>
      <c r="G15" s="13"/>
      <c r="H15" s="13"/>
    </row>
    <row r="16" spans="1:8" ht="30" customHeight="1" x14ac:dyDescent="0.25">
      <c r="A16" s="14" t="s">
        <v>797</v>
      </c>
      <c r="B16" s="14" t="s">
        <v>798</v>
      </c>
      <c r="C16" s="15" t="s">
        <v>799</v>
      </c>
      <c r="D16" s="16" t="s">
        <v>800</v>
      </c>
      <c r="E16" s="22">
        <v>1</v>
      </c>
      <c r="F16" s="18" t="s">
        <v>20</v>
      </c>
      <c r="G16" s="16" t="s">
        <v>801</v>
      </c>
      <c r="H16" s="16"/>
    </row>
    <row r="17" spans="1:8" ht="30" customHeight="1" x14ac:dyDescent="0.25">
      <c r="A17" s="19" t="s">
        <v>797</v>
      </c>
      <c r="B17" s="19" t="s">
        <v>798</v>
      </c>
      <c r="C17" s="20" t="s">
        <v>802</v>
      </c>
      <c r="D17" s="21" t="s">
        <v>803</v>
      </c>
      <c r="E17" s="22">
        <v>1</v>
      </c>
      <c r="F17" s="18" t="s">
        <v>20</v>
      </c>
      <c r="G17" s="21" t="s">
        <v>801</v>
      </c>
      <c r="H17" s="21"/>
    </row>
    <row r="18" spans="1:8" ht="30" customHeight="1" x14ac:dyDescent="0.25">
      <c r="A18" s="14" t="s">
        <v>797</v>
      </c>
      <c r="B18" s="14" t="s">
        <v>798</v>
      </c>
      <c r="C18" s="15" t="s">
        <v>804</v>
      </c>
      <c r="D18" s="16" t="s">
        <v>805</v>
      </c>
      <c r="E18" s="22">
        <v>1</v>
      </c>
      <c r="F18" s="18" t="s">
        <v>20</v>
      </c>
      <c r="G18" s="16" t="s">
        <v>801</v>
      </c>
      <c r="H18" s="16"/>
    </row>
    <row r="19" spans="1:8" ht="30" customHeight="1" x14ac:dyDescent="0.25">
      <c r="A19" s="19" t="s">
        <v>797</v>
      </c>
      <c r="B19" s="19" t="s">
        <v>798</v>
      </c>
      <c r="C19" s="20" t="s">
        <v>806</v>
      </c>
      <c r="D19" s="21" t="s">
        <v>807</v>
      </c>
      <c r="E19" s="22">
        <v>1</v>
      </c>
      <c r="F19" s="18" t="s">
        <v>20</v>
      </c>
      <c r="G19" s="21" t="s">
        <v>801</v>
      </c>
      <c r="H19" s="21"/>
    </row>
    <row r="20" spans="1:8" ht="30" customHeight="1" x14ac:dyDescent="0.25">
      <c r="A20" s="14" t="s">
        <v>797</v>
      </c>
      <c r="B20" s="14" t="s">
        <v>798</v>
      </c>
      <c r="C20" s="15" t="s">
        <v>808</v>
      </c>
      <c r="D20" s="16" t="s">
        <v>809</v>
      </c>
      <c r="E20" s="22">
        <v>1</v>
      </c>
      <c r="F20" s="18" t="s">
        <v>20</v>
      </c>
      <c r="G20" s="16" t="s">
        <v>801</v>
      </c>
      <c r="H20" s="16"/>
    </row>
    <row r="21" spans="1:8" ht="30" customHeight="1" x14ac:dyDescent="0.25">
      <c r="A21" s="19" t="s">
        <v>797</v>
      </c>
      <c r="B21" s="19" t="s">
        <v>798</v>
      </c>
      <c r="C21" s="20" t="s">
        <v>810</v>
      </c>
      <c r="D21" s="21" t="s">
        <v>811</v>
      </c>
      <c r="E21" s="17">
        <v>2</v>
      </c>
      <c r="F21" s="18" t="s">
        <v>20</v>
      </c>
      <c r="G21" s="21" t="s">
        <v>801</v>
      </c>
      <c r="H21" s="21"/>
    </row>
    <row r="22" spans="1:8" ht="30" customHeight="1" x14ac:dyDescent="0.25">
      <c r="A22" s="14" t="s">
        <v>797</v>
      </c>
      <c r="B22" s="14" t="s">
        <v>798</v>
      </c>
      <c r="C22" s="15" t="s">
        <v>812</v>
      </c>
      <c r="D22" s="16" t="s">
        <v>813</v>
      </c>
      <c r="E22" s="17">
        <v>2</v>
      </c>
      <c r="F22" s="18" t="s">
        <v>20</v>
      </c>
      <c r="G22" s="16" t="s">
        <v>801</v>
      </c>
      <c r="H22" s="16"/>
    </row>
    <row r="23" spans="1:8" ht="30" customHeight="1" x14ac:dyDescent="0.25">
      <c r="A23" s="19" t="s">
        <v>797</v>
      </c>
      <c r="B23" s="19" t="s">
        <v>798</v>
      </c>
      <c r="C23" s="20" t="s">
        <v>814</v>
      </c>
      <c r="D23" s="21" t="s">
        <v>815</v>
      </c>
      <c r="E23" s="17">
        <v>2</v>
      </c>
      <c r="F23" s="18" t="s">
        <v>20</v>
      </c>
      <c r="G23" s="21" t="s">
        <v>801</v>
      </c>
      <c r="H23" s="21"/>
    </row>
    <row r="24" spans="1:8" ht="30" customHeight="1" x14ac:dyDescent="0.25">
      <c r="A24" s="14" t="s">
        <v>797</v>
      </c>
      <c r="B24" s="14" t="s">
        <v>798</v>
      </c>
      <c r="C24" s="15" t="s">
        <v>816</v>
      </c>
      <c r="D24" s="16" t="s">
        <v>817</v>
      </c>
      <c r="E24" s="17">
        <v>2</v>
      </c>
      <c r="F24" s="18" t="s">
        <v>20</v>
      </c>
      <c r="G24" s="16" t="s">
        <v>801</v>
      </c>
      <c r="H24" s="16"/>
    </row>
    <row r="25" spans="1:8" ht="30" customHeight="1" x14ac:dyDescent="0.25">
      <c r="A25" s="19" t="s">
        <v>797</v>
      </c>
      <c r="B25" s="19" t="s">
        <v>798</v>
      </c>
      <c r="C25" s="20" t="s">
        <v>818</v>
      </c>
      <c r="D25" s="21" t="s">
        <v>819</v>
      </c>
      <c r="E25" s="17">
        <v>2</v>
      </c>
      <c r="F25" s="18" t="s">
        <v>20</v>
      </c>
      <c r="G25" s="21" t="s">
        <v>801</v>
      </c>
      <c r="H25" s="21"/>
    </row>
    <row r="26" spans="1:8" ht="30" customHeight="1" x14ac:dyDescent="0.25">
      <c r="A26" s="14" t="s">
        <v>797</v>
      </c>
      <c r="B26" s="14" t="s">
        <v>798</v>
      </c>
      <c r="C26" s="15" t="s">
        <v>820</v>
      </c>
      <c r="D26" s="16" t="s">
        <v>821</v>
      </c>
      <c r="E26" s="17">
        <v>2</v>
      </c>
      <c r="F26" s="18" t="s">
        <v>20</v>
      </c>
      <c r="G26" s="16" t="s">
        <v>801</v>
      </c>
      <c r="H26" s="16"/>
    </row>
    <row r="27" spans="1:8" ht="30" customHeight="1" x14ac:dyDescent="0.25">
      <c r="A27" s="19" t="s">
        <v>797</v>
      </c>
      <c r="B27" s="19" t="s">
        <v>798</v>
      </c>
      <c r="C27" s="20" t="s">
        <v>822</v>
      </c>
      <c r="D27" s="21" t="s">
        <v>823</v>
      </c>
      <c r="E27" s="23">
        <v>3</v>
      </c>
      <c r="F27" s="18" t="s">
        <v>20</v>
      </c>
      <c r="G27" s="21" t="s">
        <v>801</v>
      </c>
      <c r="H27" s="21"/>
    </row>
    <row r="28" spans="1:8" ht="30" customHeight="1" x14ac:dyDescent="0.25">
      <c r="A28" s="14" t="s">
        <v>797</v>
      </c>
      <c r="B28" s="14" t="s">
        <v>798</v>
      </c>
      <c r="C28" s="15" t="s">
        <v>824</v>
      </c>
      <c r="D28" s="16" t="s">
        <v>825</v>
      </c>
      <c r="E28" s="23">
        <v>3</v>
      </c>
      <c r="F28" s="18" t="s">
        <v>20</v>
      </c>
      <c r="G28" s="16" t="s">
        <v>801</v>
      </c>
      <c r="H28" s="16"/>
    </row>
    <row r="29" spans="1:8" ht="30" customHeight="1" x14ac:dyDescent="0.25">
      <c r="A29" s="19" t="s">
        <v>797</v>
      </c>
      <c r="B29" s="19" t="s">
        <v>798</v>
      </c>
      <c r="C29" s="20" t="s">
        <v>826</v>
      </c>
      <c r="D29" s="21" t="s">
        <v>827</v>
      </c>
      <c r="E29" s="23">
        <v>3</v>
      </c>
      <c r="F29" s="18" t="s">
        <v>20</v>
      </c>
      <c r="G29" s="21" t="s">
        <v>801</v>
      </c>
      <c r="H29" s="21"/>
    </row>
    <row r="30" spans="1:8" ht="30" customHeight="1" x14ac:dyDescent="0.25">
      <c r="A30" s="14" t="s">
        <v>797</v>
      </c>
      <c r="B30" s="14" t="s">
        <v>798</v>
      </c>
      <c r="C30" s="15" t="s">
        <v>828</v>
      </c>
      <c r="D30" s="16" t="s">
        <v>829</v>
      </c>
      <c r="E30" s="23">
        <v>3</v>
      </c>
      <c r="F30" s="18" t="s">
        <v>20</v>
      </c>
      <c r="G30" s="16" t="s">
        <v>801</v>
      </c>
      <c r="H30" s="16"/>
    </row>
    <row r="31" spans="1:8" ht="30" customHeight="1" x14ac:dyDescent="0.25">
      <c r="A31" s="19" t="s">
        <v>797</v>
      </c>
      <c r="B31" s="19" t="s">
        <v>798</v>
      </c>
      <c r="C31" s="20" t="s">
        <v>830</v>
      </c>
      <c r="D31" s="21" t="s">
        <v>831</v>
      </c>
      <c r="E31" s="23">
        <v>3</v>
      </c>
      <c r="F31" s="18" t="s">
        <v>20</v>
      </c>
      <c r="G31" s="21" t="s">
        <v>801</v>
      </c>
      <c r="H31" s="21"/>
    </row>
    <row r="32" spans="1:8" ht="18" customHeight="1" x14ac:dyDescent="0.25">
      <c r="A32" s="13" t="s">
        <v>832</v>
      </c>
      <c r="B32" s="13" t="s">
        <v>833</v>
      </c>
      <c r="C32" s="13"/>
      <c r="D32" s="13"/>
      <c r="E32" s="13"/>
      <c r="F32" s="13"/>
      <c r="G32" s="13"/>
      <c r="H32" s="13"/>
    </row>
    <row r="33" spans="1:8" ht="30" customHeight="1" x14ac:dyDescent="0.25">
      <c r="A33" s="14" t="s">
        <v>832</v>
      </c>
      <c r="B33" s="14" t="s">
        <v>833</v>
      </c>
      <c r="C33" s="15" t="s">
        <v>834</v>
      </c>
      <c r="D33" s="16" t="s">
        <v>835</v>
      </c>
      <c r="E33" s="17">
        <v>2</v>
      </c>
      <c r="F33" s="18" t="s">
        <v>20</v>
      </c>
      <c r="G33" s="16" t="s">
        <v>836</v>
      </c>
      <c r="H33" s="16"/>
    </row>
    <row r="34" spans="1:8" ht="30" customHeight="1" x14ac:dyDescent="0.25">
      <c r="A34" s="19" t="s">
        <v>832</v>
      </c>
      <c r="B34" s="19" t="s">
        <v>833</v>
      </c>
      <c r="C34" s="20" t="s">
        <v>837</v>
      </c>
      <c r="D34" s="21" t="s">
        <v>838</v>
      </c>
      <c r="E34" s="17">
        <v>2</v>
      </c>
      <c r="F34" s="18" t="s">
        <v>20</v>
      </c>
      <c r="G34" s="21" t="s">
        <v>836</v>
      </c>
      <c r="H34" s="21"/>
    </row>
    <row r="35" spans="1:8" ht="30" customHeight="1" x14ac:dyDescent="0.25">
      <c r="A35" s="14" t="s">
        <v>832</v>
      </c>
      <c r="B35" s="14" t="s">
        <v>833</v>
      </c>
      <c r="C35" s="15" t="s">
        <v>839</v>
      </c>
      <c r="D35" s="16" t="s">
        <v>840</v>
      </c>
      <c r="E35" s="17">
        <v>2</v>
      </c>
      <c r="F35" s="18" t="s">
        <v>20</v>
      </c>
      <c r="G35" s="16" t="s">
        <v>836</v>
      </c>
      <c r="H35" s="16"/>
    </row>
    <row r="36" spans="1:8" ht="30" customHeight="1" x14ac:dyDescent="0.25">
      <c r="A36" s="19" t="s">
        <v>832</v>
      </c>
      <c r="B36" s="19" t="s">
        <v>833</v>
      </c>
      <c r="C36" s="20" t="s">
        <v>841</v>
      </c>
      <c r="D36" s="21" t="s">
        <v>842</v>
      </c>
      <c r="E36" s="17">
        <v>2</v>
      </c>
      <c r="F36" s="18" t="s">
        <v>20</v>
      </c>
      <c r="G36" s="21" t="s">
        <v>836</v>
      </c>
      <c r="H36" s="21"/>
    </row>
    <row r="37" spans="1:8" ht="30" customHeight="1" x14ac:dyDescent="0.25">
      <c r="A37" s="14" t="s">
        <v>832</v>
      </c>
      <c r="B37" s="14" t="s">
        <v>833</v>
      </c>
      <c r="C37" s="15" t="s">
        <v>843</v>
      </c>
      <c r="D37" s="16" t="s">
        <v>844</v>
      </c>
      <c r="E37" s="17">
        <v>2</v>
      </c>
      <c r="F37" s="18" t="s">
        <v>20</v>
      </c>
      <c r="G37" s="16" t="s">
        <v>836</v>
      </c>
      <c r="H37" s="16"/>
    </row>
    <row r="38" spans="1:8" ht="18" customHeight="1" x14ac:dyDescent="0.25">
      <c r="A38" s="13" t="s">
        <v>845</v>
      </c>
      <c r="B38" s="13" t="s">
        <v>846</v>
      </c>
      <c r="C38" s="13"/>
      <c r="D38" s="13"/>
      <c r="E38" s="13"/>
      <c r="F38" s="13"/>
      <c r="G38" s="13"/>
      <c r="H38" s="13"/>
    </row>
    <row r="39" spans="1:8" ht="30" customHeight="1" x14ac:dyDescent="0.25">
      <c r="A39" s="14" t="s">
        <v>845</v>
      </c>
      <c r="B39" s="14" t="s">
        <v>846</v>
      </c>
      <c r="C39" s="15" t="s">
        <v>847</v>
      </c>
      <c r="D39" s="16" t="s">
        <v>848</v>
      </c>
      <c r="E39" s="17">
        <v>2</v>
      </c>
      <c r="F39" s="18" t="s">
        <v>20</v>
      </c>
      <c r="G39" s="16" t="s">
        <v>849</v>
      </c>
      <c r="H39" s="16"/>
    </row>
    <row r="40" spans="1:8" ht="30" customHeight="1" x14ac:dyDescent="0.25">
      <c r="A40" s="19" t="s">
        <v>845</v>
      </c>
      <c r="B40" s="19" t="s">
        <v>846</v>
      </c>
      <c r="C40" s="20" t="s">
        <v>850</v>
      </c>
      <c r="D40" s="21" t="s">
        <v>851</v>
      </c>
      <c r="E40" s="17">
        <v>2</v>
      </c>
      <c r="F40" s="18" t="s">
        <v>20</v>
      </c>
      <c r="G40" s="21" t="s">
        <v>849</v>
      </c>
      <c r="H40" s="21"/>
    </row>
    <row r="41" spans="1:8" ht="18" customHeight="1" x14ac:dyDescent="0.25">
      <c r="A41" s="13" t="s">
        <v>852</v>
      </c>
      <c r="B41" s="13" t="s">
        <v>853</v>
      </c>
      <c r="C41" s="13"/>
      <c r="D41" s="13"/>
      <c r="E41" s="13"/>
      <c r="F41" s="13"/>
      <c r="G41" s="13"/>
      <c r="H41" s="13"/>
    </row>
    <row r="42" spans="1:8" ht="30" customHeight="1" x14ac:dyDescent="0.25">
      <c r="A42" s="14" t="s">
        <v>852</v>
      </c>
      <c r="B42" s="14" t="s">
        <v>853</v>
      </c>
      <c r="C42" s="15" t="s">
        <v>854</v>
      </c>
      <c r="D42" s="16" t="s">
        <v>855</v>
      </c>
      <c r="E42" s="17">
        <v>2</v>
      </c>
      <c r="F42" s="18" t="s">
        <v>20</v>
      </c>
      <c r="G42" s="16" t="s">
        <v>856</v>
      </c>
      <c r="H42" s="16"/>
    </row>
    <row r="43" spans="1:8" ht="30" customHeight="1" x14ac:dyDescent="0.25">
      <c r="A43" s="19" t="s">
        <v>852</v>
      </c>
      <c r="B43" s="19" t="s">
        <v>853</v>
      </c>
      <c r="C43" s="20" t="s">
        <v>857</v>
      </c>
      <c r="D43" s="21" t="s">
        <v>858</v>
      </c>
      <c r="E43" s="17">
        <v>2</v>
      </c>
      <c r="F43" s="18" t="s">
        <v>20</v>
      </c>
      <c r="G43" s="21" t="s">
        <v>856</v>
      </c>
      <c r="H43" s="21"/>
    </row>
    <row r="44" spans="1:8" ht="30" customHeight="1" x14ac:dyDescent="0.25">
      <c r="A44" s="14" t="s">
        <v>852</v>
      </c>
      <c r="B44" s="14" t="s">
        <v>853</v>
      </c>
      <c r="C44" s="15" t="s">
        <v>859</v>
      </c>
      <c r="D44" s="16" t="s">
        <v>860</v>
      </c>
      <c r="E44" s="17">
        <v>2</v>
      </c>
      <c r="F44" s="18" t="s">
        <v>20</v>
      </c>
      <c r="G44" s="16" t="s">
        <v>856</v>
      </c>
      <c r="H44" s="16"/>
    </row>
  </sheetData>
  <conditionalFormatting sqref="F2:F44">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44" xr:uid="{00000000-0002-0000-0A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2"/>
  <sheetViews>
    <sheetView zoomScale="59" zoomScaleNormal="75" workbookViewId="0">
      <pane ySplit="1" topLeftCell="A2" activePane="bottomLeft" state="frozen"/>
      <selection pane="bottomLeft" activeCell="K22" sqref="K22"/>
    </sheetView>
  </sheetViews>
  <sheetFormatPr defaultColWidth="8.42578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2" t="s">
        <v>0</v>
      </c>
      <c r="B1" s="12" t="s">
        <v>1</v>
      </c>
      <c r="C1" s="12" t="s">
        <v>2</v>
      </c>
      <c r="D1" s="12" t="s">
        <v>3</v>
      </c>
      <c r="E1" s="12" t="s">
        <v>4</v>
      </c>
      <c r="F1" s="12" t="s">
        <v>5</v>
      </c>
      <c r="G1" s="12" t="s">
        <v>6</v>
      </c>
      <c r="H1" s="12" t="s">
        <v>7</v>
      </c>
    </row>
    <row r="2" spans="1:8" ht="18" customHeight="1" x14ac:dyDescent="0.25">
      <c r="A2" s="13" t="s">
        <v>8</v>
      </c>
      <c r="B2" s="13" t="s">
        <v>9</v>
      </c>
      <c r="C2" s="13"/>
      <c r="D2" s="13"/>
      <c r="E2" s="13"/>
      <c r="F2" s="13"/>
      <c r="G2" s="13"/>
      <c r="H2" s="13"/>
    </row>
    <row r="3" spans="1:8" ht="30" customHeight="1" x14ac:dyDescent="0.25">
      <c r="A3" s="14" t="s">
        <v>8</v>
      </c>
      <c r="B3" s="14" t="s">
        <v>9</v>
      </c>
      <c r="C3" s="15" t="s">
        <v>10</v>
      </c>
      <c r="D3" s="16" t="s">
        <v>11</v>
      </c>
      <c r="E3" s="17">
        <v>2</v>
      </c>
      <c r="F3" s="18" t="s">
        <v>710</v>
      </c>
      <c r="G3" s="16" t="s">
        <v>1292</v>
      </c>
      <c r="H3" s="16" t="s">
        <v>13</v>
      </c>
    </row>
    <row r="4" spans="1:8" ht="30" customHeight="1" x14ac:dyDescent="0.25">
      <c r="A4" s="19" t="s">
        <v>8</v>
      </c>
      <c r="B4" s="19" t="s">
        <v>9</v>
      </c>
      <c r="C4" s="20" t="s">
        <v>14</v>
      </c>
      <c r="D4" s="21" t="s">
        <v>15</v>
      </c>
      <c r="E4" s="17">
        <v>2</v>
      </c>
      <c r="F4" s="18" t="s">
        <v>12</v>
      </c>
      <c r="G4" s="21" t="s">
        <v>16</v>
      </c>
      <c r="H4" s="21" t="s">
        <v>17</v>
      </c>
    </row>
    <row r="5" spans="1:8" ht="30" customHeight="1" x14ac:dyDescent="0.25">
      <c r="A5" s="14" t="s">
        <v>8</v>
      </c>
      <c r="B5" s="14" t="s">
        <v>9</v>
      </c>
      <c r="C5" s="15" t="s">
        <v>18</v>
      </c>
      <c r="D5" s="16" t="s">
        <v>19</v>
      </c>
      <c r="E5" s="23">
        <v>3</v>
      </c>
      <c r="F5" s="18" t="s">
        <v>20</v>
      </c>
      <c r="G5" s="16" t="s">
        <v>21</v>
      </c>
      <c r="H5" s="16"/>
    </row>
    <row r="6" spans="1:8" ht="30" customHeight="1" x14ac:dyDescent="0.25">
      <c r="A6" s="19" t="s">
        <v>8</v>
      </c>
      <c r="B6" s="19" t="s">
        <v>9</v>
      </c>
      <c r="C6" s="20" t="s">
        <v>22</v>
      </c>
      <c r="D6" s="21" t="s">
        <v>23</v>
      </c>
      <c r="E6" s="23">
        <v>3</v>
      </c>
      <c r="F6" s="18" t="s">
        <v>12</v>
      </c>
      <c r="G6" s="21" t="s">
        <v>24</v>
      </c>
      <c r="H6" s="21" t="s">
        <v>13</v>
      </c>
    </row>
    <row r="7" spans="1:8" ht="18" customHeight="1" x14ac:dyDescent="0.25">
      <c r="A7" s="13" t="s">
        <v>25</v>
      </c>
      <c r="B7" s="13" t="s">
        <v>26</v>
      </c>
      <c r="C7" s="13"/>
      <c r="D7" s="13"/>
      <c r="E7" s="13"/>
      <c r="F7" s="13"/>
      <c r="G7" s="13"/>
      <c r="H7" s="13"/>
    </row>
    <row r="8" spans="1:8" ht="30" customHeight="1" x14ac:dyDescent="0.25">
      <c r="A8" s="14" t="s">
        <v>25</v>
      </c>
      <c r="B8" s="14" t="s">
        <v>26</v>
      </c>
      <c r="C8" s="15" t="s">
        <v>27</v>
      </c>
      <c r="D8" s="16" t="s">
        <v>28</v>
      </c>
      <c r="E8" s="17">
        <v>2</v>
      </c>
      <c r="F8" s="18" t="s">
        <v>418</v>
      </c>
      <c r="G8" s="16" t="s">
        <v>1293</v>
      </c>
      <c r="H8" s="16" t="s">
        <v>29</v>
      </c>
    </row>
    <row r="9" spans="1:8" ht="30" customHeight="1" x14ac:dyDescent="0.25">
      <c r="A9" s="19" t="s">
        <v>25</v>
      </c>
      <c r="B9" s="19" t="s">
        <v>26</v>
      </c>
      <c r="C9" s="20" t="s">
        <v>30</v>
      </c>
      <c r="D9" s="21" t="s">
        <v>31</v>
      </c>
      <c r="E9" s="17">
        <v>2</v>
      </c>
      <c r="F9" s="18" t="s">
        <v>710</v>
      </c>
      <c r="G9" s="21" t="s">
        <v>1294</v>
      </c>
      <c r="H9" s="21" t="s">
        <v>17</v>
      </c>
    </row>
    <row r="10" spans="1:8" ht="30" customHeight="1" x14ac:dyDescent="0.25">
      <c r="A10" s="14" t="s">
        <v>25</v>
      </c>
      <c r="B10" s="14" t="s">
        <v>26</v>
      </c>
      <c r="C10" s="15" t="s">
        <v>32</v>
      </c>
      <c r="D10" s="16" t="s">
        <v>33</v>
      </c>
      <c r="E10" s="17">
        <v>2</v>
      </c>
      <c r="F10" s="18" t="s">
        <v>418</v>
      </c>
      <c r="G10" s="16" t="s">
        <v>1295</v>
      </c>
      <c r="H10" s="16" t="s">
        <v>17</v>
      </c>
    </row>
    <row r="11" spans="1:8" ht="30" customHeight="1" x14ac:dyDescent="0.25">
      <c r="A11" s="19" t="s">
        <v>25</v>
      </c>
      <c r="B11" s="19" t="s">
        <v>26</v>
      </c>
      <c r="C11" s="20" t="s">
        <v>34</v>
      </c>
      <c r="D11" s="21" t="s">
        <v>35</v>
      </c>
      <c r="E11" s="23">
        <v>3</v>
      </c>
      <c r="F11" s="18" t="s">
        <v>418</v>
      </c>
      <c r="G11" s="21" t="s">
        <v>1296</v>
      </c>
      <c r="H11" s="21" t="s">
        <v>36</v>
      </c>
    </row>
    <row r="12" spans="1:8" ht="30" customHeight="1" x14ac:dyDescent="0.25">
      <c r="A12" s="14" t="s">
        <v>25</v>
      </c>
      <c r="B12" s="14" t="s">
        <v>26</v>
      </c>
      <c r="C12" s="15" t="s">
        <v>37</v>
      </c>
      <c r="D12" s="16" t="s">
        <v>38</v>
      </c>
      <c r="E12" s="23">
        <v>3</v>
      </c>
      <c r="F12" s="18" t="s">
        <v>418</v>
      </c>
      <c r="G12" s="16" t="s">
        <v>1297</v>
      </c>
      <c r="H12" s="16" t="s">
        <v>39</v>
      </c>
    </row>
    <row r="13" spans="1:8" ht="18" customHeight="1" x14ac:dyDescent="0.25">
      <c r="A13" s="13" t="s">
        <v>40</v>
      </c>
      <c r="B13" s="13" t="s">
        <v>41</v>
      </c>
      <c r="C13" s="13"/>
      <c r="D13" s="13"/>
      <c r="E13" s="13"/>
      <c r="F13" s="13"/>
      <c r="G13" s="13"/>
      <c r="H13" s="13"/>
    </row>
    <row r="14" spans="1:8" ht="30" customHeight="1" x14ac:dyDescent="0.25">
      <c r="A14" s="14" t="s">
        <v>40</v>
      </c>
      <c r="B14" s="14" t="s">
        <v>41</v>
      </c>
      <c r="C14" s="15" t="s">
        <v>42</v>
      </c>
      <c r="D14" s="16" t="s">
        <v>43</v>
      </c>
      <c r="E14" s="22">
        <v>1</v>
      </c>
      <c r="F14" s="18" t="s">
        <v>20</v>
      </c>
      <c r="G14" s="16" t="s">
        <v>1298</v>
      </c>
      <c r="H14" s="16" t="s">
        <v>29</v>
      </c>
    </row>
    <row r="15" spans="1:8" ht="30" customHeight="1" x14ac:dyDescent="0.25">
      <c r="A15" s="19" t="s">
        <v>40</v>
      </c>
      <c r="B15" s="19" t="s">
        <v>41</v>
      </c>
      <c r="C15" s="20" t="s">
        <v>44</v>
      </c>
      <c r="D15" s="21" t="s">
        <v>45</v>
      </c>
      <c r="E15" s="22">
        <v>1</v>
      </c>
      <c r="F15" s="18" t="s">
        <v>710</v>
      </c>
      <c r="G15" s="21" t="s">
        <v>1299</v>
      </c>
      <c r="H15" s="21" t="s">
        <v>46</v>
      </c>
    </row>
    <row r="16" spans="1:8" ht="30" customHeight="1" x14ac:dyDescent="0.25">
      <c r="A16" s="14" t="s">
        <v>40</v>
      </c>
      <c r="B16" s="14" t="s">
        <v>41</v>
      </c>
      <c r="C16" s="15" t="s">
        <v>47</v>
      </c>
      <c r="D16" s="16" t="s">
        <v>48</v>
      </c>
      <c r="E16" s="17">
        <v>2</v>
      </c>
      <c r="F16" s="18" t="s">
        <v>20</v>
      </c>
      <c r="G16" s="16" t="s">
        <v>1300</v>
      </c>
      <c r="H16" s="16" t="s">
        <v>36</v>
      </c>
    </row>
    <row r="17" spans="1:8" ht="30" customHeight="1" x14ac:dyDescent="0.25">
      <c r="A17" s="19" t="s">
        <v>40</v>
      </c>
      <c r="B17" s="19" t="s">
        <v>41</v>
      </c>
      <c r="C17" s="20" t="s">
        <v>49</v>
      </c>
      <c r="D17" s="21" t="s">
        <v>50</v>
      </c>
      <c r="E17" s="23">
        <v>3</v>
      </c>
      <c r="F17" s="18" t="s">
        <v>20</v>
      </c>
      <c r="G17" s="21" t="s">
        <v>1301</v>
      </c>
      <c r="H17" s="21" t="s">
        <v>51</v>
      </c>
    </row>
    <row r="18" spans="1:8" ht="30" customHeight="1" x14ac:dyDescent="0.25">
      <c r="A18" s="14" t="s">
        <v>40</v>
      </c>
      <c r="B18" s="14" t="s">
        <v>41</v>
      </c>
      <c r="C18" s="15" t="s">
        <v>52</v>
      </c>
      <c r="D18" s="16" t="s">
        <v>53</v>
      </c>
      <c r="E18" s="23">
        <v>3</v>
      </c>
      <c r="F18" s="18" t="s">
        <v>20</v>
      </c>
      <c r="G18" s="16" t="s">
        <v>54</v>
      </c>
      <c r="H18" s="16"/>
    </row>
    <row r="19" spans="1:8" ht="18" customHeight="1" x14ac:dyDescent="0.25">
      <c r="A19" s="13" t="s">
        <v>55</v>
      </c>
      <c r="B19" s="13" t="s">
        <v>56</v>
      </c>
      <c r="C19" s="13"/>
      <c r="D19" s="13"/>
      <c r="E19" s="13"/>
      <c r="F19" s="13"/>
      <c r="G19" s="13"/>
      <c r="H19" s="13"/>
    </row>
    <row r="20" spans="1:8" ht="30" customHeight="1" x14ac:dyDescent="0.25">
      <c r="A20" s="14" t="s">
        <v>55</v>
      </c>
      <c r="B20" s="14" t="s">
        <v>56</v>
      </c>
      <c r="C20" s="15" t="s">
        <v>57</v>
      </c>
      <c r="D20" s="16" t="s">
        <v>58</v>
      </c>
      <c r="E20" s="22">
        <v>1</v>
      </c>
      <c r="F20" s="18" t="s">
        <v>418</v>
      </c>
      <c r="G20" s="16" t="s">
        <v>1302</v>
      </c>
      <c r="H20" s="16" t="s">
        <v>36</v>
      </c>
    </row>
    <row r="21" spans="1:8" ht="30" customHeight="1" x14ac:dyDescent="0.25">
      <c r="A21" s="19" t="s">
        <v>55</v>
      </c>
      <c r="B21" s="19" t="s">
        <v>56</v>
      </c>
      <c r="C21" s="20" t="s">
        <v>59</v>
      </c>
      <c r="D21" s="21" t="s">
        <v>60</v>
      </c>
      <c r="E21" s="17">
        <v>2</v>
      </c>
      <c r="F21" s="18" t="s">
        <v>418</v>
      </c>
      <c r="G21" s="21" t="s">
        <v>1303</v>
      </c>
      <c r="H21" s="21" t="s">
        <v>36</v>
      </c>
    </row>
    <row r="22" spans="1:8" ht="30" customHeight="1" x14ac:dyDescent="0.25">
      <c r="A22" s="14" t="s">
        <v>55</v>
      </c>
      <c r="B22" s="14" t="s">
        <v>56</v>
      </c>
      <c r="C22" s="15" t="s">
        <v>61</v>
      </c>
      <c r="D22" s="16" t="s">
        <v>62</v>
      </c>
      <c r="E22" s="17">
        <v>2</v>
      </c>
      <c r="F22" s="18" t="s">
        <v>418</v>
      </c>
      <c r="G22" s="16" t="s">
        <v>1304</v>
      </c>
      <c r="H22" s="16" t="s">
        <v>29</v>
      </c>
    </row>
    <row r="23" spans="1:8" ht="30" customHeight="1" x14ac:dyDescent="0.25">
      <c r="A23" s="19" t="s">
        <v>55</v>
      </c>
      <c r="B23" s="19" t="s">
        <v>56</v>
      </c>
      <c r="C23" s="20" t="s">
        <v>63</v>
      </c>
      <c r="D23" s="21" t="s">
        <v>64</v>
      </c>
      <c r="E23" s="17">
        <v>2</v>
      </c>
      <c r="F23" s="18" t="s">
        <v>20</v>
      </c>
      <c r="G23" s="21" t="s">
        <v>1305</v>
      </c>
      <c r="H23" s="21" t="s">
        <v>36</v>
      </c>
    </row>
    <row r="24" spans="1:8" ht="18" customHeight="1" x14ac:dyDescent="0.25">
      <c r="A24" s="13" t="s">
        <v>65</v>
      </c>
      <c r="B24" s="13" t="s">
        <v>66</v>
      </c>
      <c r="C24" s="13"/>
      <c r="D24" s="13"/>
      <c r="E24" s="13"/>
      <c r="F24" s="13"/>
      <c r="G24" s="13"/>
      <c r="H24" s="13"/>
    </row>
    <row r="25" spans="1:8" ht="30" customHeight="1" x14ac:dyDescent="0.25">
      <c r="A25" s="14" t="s">
        <v>65</v>
      </c>
      <c r="B25" s="14" t="s">
        <v>66</v>
      </c>
      <c r="C25" s="15" t="s">
        <v>67</v>
      </c>
      <c r="D25" s="16" t="s">
        <v>68</v>
      </c>
      <c r="E25" s="17">
        <v>2</v>
      </c>
      <c r="F25" s="18" t="s">
        <v>20</v>
      </c>
      <c r="G25" s="16" t="s">
        <v>1306</v>
      </c>
      <c r="H25" s="16" t="s">
        <v>51</v>
      </c>
    </row>
    <row r="26" spans="1:8" ht="30" customHeight="1" x14ac:dyDescent="0.25">
      <c r="A26" s="19" t="s">
        <v>65</v>
      </c>
      <c r="B26" s="19" t="s">
        <v>66</v>
      </c>
      <c r="C26" s="20" t="s">
        <v>69</v>
      </c>
      <c r="D26" s="21" t="s">
        <v>70</v>
      </c>
      <c r="E26" s="23">
        <v>3</v>
      </c>
      <c r="F26" s="18" t="s">
        <v>418</v>
      </c>
      <c r="G26" s="21" t="s">
        <v>1307</v>
      </c>
      <c r="H26" s="21" t="s">
        <v>51</v>
      </c>
    </row>
    <row r="27" spans="1:8" ht="18" customHeight="1" x14ac:dyDescent="0.25">
      <c r="A27" s="13" t="s">
        <v>71</v>
      </c>
      <c r="B27" s="13" t="s">
        <v>72</v>
      </c>
      <c r="C27" s="13"/>
      <c r="D27" s="13"/>
      <c r="E27" s="13"/>
      <c r="F27" s="13"/>
      <c r="G27" s="13"/>
      <c r="H27" s="13"/>
    </row>
    <row r="28" spans="1:8" ht="30" customHeight="1" x14ac:dyDescent="0.25">
      <c r="A28" s="14" t="s">
        <v>71</v>
      </c>
      <c r="B28" s="14" t="s">
        <v>72</v>
      </c>
      <c r="C28" s="15" t="s">
        <v>73</v>
      </c>
      <c r="D28" s="16" t="s">
        <v>74</v>
      </c>
      <c r="E28" s="17">
        <v>2</v>
      </c>
      <c r="F28" s="18" t="s">
        <v>418</v>
      </c>
      <c r="G28" s="16" t="s">
        <v>1308</v>
      </c>
      <c r="H28" s="16" t="s">
        <v>29</v>
      </c>
    </row>
    <row r="29" spans="1:8" ht="30" customHeight="1" x14ac:dyDescent="0.25">
      <c r="A29" s="19" t="s">
        <v>71</v>
      </c>
      <c r="B29" s="19" t="s">
        <v>72</v>
      </c>
      <c r="C29" s="20" t="s">
        <v>75</v>
      </c>
      <c r="D29" s="21" t="s">
        <v>76</v>
      </c>
      <c r="E29" s="23">
        <v>3</v>
      </c>
      <c r="F29" s="18" t="s">
        <v>418</v>
      </c>
      <c r="G29" s="21" t="s">
        <v>1309</v>
      </c>
      <c r="H29" s="21" t="s">
        <v>46</v>
      </c>
    </row>
    <row r="30" spans="1:8" ht="18" customHeight="1" x14ac:dyDescent="0.25">
      <c r="A30" s="13" t="s">
        <v>77</v>
      </c>
      <c r="B30" s="13" t="s">
        <v>78</v>
      </c>
      <c r="C30" s="13"/>
      <c r="D30" s="13"/>
      <c r="E30" s="13"/>
      <c r="F30" s="13"/>
      <c r="G30" s="13"/>
      <c r="H30" s="13"/>
    </row>
    <row r="31" spans="1:8" ht="30" customHeight="1" x14ac:dyDescent="0.25">
      <c r="A31" s="14" t="s">
        <v>77</v>
      </c>
      <c r="B31" s="14" t="s">
        <v>78</v>
      </c>
      <c r="C31" s="15" t="s">
        <v>79</v>
      </c>
      <c r="D31" s="16" t="s">
        <v>80</v>
      </c>
      <c r="E31" s="23">
        <v>3</v>
      </c>
      <c r="F31" s="18" t="s">
        <v>20</v>
      </c>
      <c r="G31" s="16" t="s">
        <v>81</v>
      </c>
      <c r="H31" s="16"/>
    </row>
    <row r="32" spans="1:8" ht="30" customHeight="1" x14ac:dyDescent="0.25">
      <c r="A32" s="19" t="s">
        <v>77</v>
      </c>
      <c r="B32" s="19" t="s">
        <v>78</v>
      </c>
      <c r="C32" s="20" t="s">
        <v>82</v>
      </c>
      <c r="D32" s="21" t="s">
        <v>83</v>
      </c>
      <c r="E32" s="23">
        <v>3</v>
      </c>
      <c r="F32" s="18" t="s">
        <v>710</v>
      </c>
      <c r="G32" s="21" t="s">
        <v>1310</v>
      </c>
      <c r="H32" s="21" t="s">
        <v>84</v>
      </c>
    </row>
  </sheetData>
  <conditionalFormatting sqref="F2:F32">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2" xr:uid="{00000000-0002-0000-0B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6"/>
  <sheetViews>
    <sheetView tabSelected="1" zoomScale="75" zoomScaleNormal="75" workbookViewId="0">
      <pane ySplit="1" topLeftCell="A2" activePane="bottomLeft" state="frozen"/>
      <selection pane="bottomLeft"/>
    </sheetView>
  </sheetViews>
  <sheetFormatPr defaultColWidth="8.42578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2" t="s">
        <v>0</v>
      </c>
      <c r="B1" s="12" t="s">
        <v>1</v>
      </c>
      <c r="C1" s="12" t="s">
        <v>2</v>
      </c>
      <c r="D1" s="12" t="s">
        <v>3</v>
      </c>
      <c r="E1" s="12" t="s">
        <v>4</v>
      </c>
      <c r="F1" s="12" t="s">
        <v>5</v>
      </c>
      <c r="G1" s="12" t="s">
        <v>6</v>
      </c>
      <c r="H1" s="12" t="s">
        <v>7</v>
      </c>
    </row>
    <row r="2" spans="1:8" ht="18" customHeight="1" x14ac:dyDescent="0.25">
      <c r="A2" s="13" t="s">
        <v>861</v>
      </c>
      <c r="B2" s="13" t="s">
        <v>862</v>
      </c>
      <c r="C2" s="13"/>
      <c r="D2" s="13"/>
      <c r="E2" s="13"/>
      <c r="F2" s="13"/>
      <c r="G2" s="13"/>
      <c r="H2" s="13"/>
    </row>
    <row r="3" spans="1:8" ht="30" customHeight="1" x14ac:dyDescent="0.25">
      <c r="A3" s="14" t="s">
        <v>861</v>
      </c>
      <c r="B3" s="14" t="s">
        <v>862</v>
      </c>
      <c r="C3" s="15" t="s">
        <v>863</v>
      </c>
      <c r="D3" s="16" t="s">
        <v>864</v>
      </c>
      <c r="E3" s="22">
        <v>1</v>
      </c>
      <c r="F3" s="18" t="s">
        <v>418</v>
      </c>
      <c r="G3" s="16" t="s">
        <v>865</v>
      </c>
      <c r="H3" s="16" t="s">
        <v>866</v>
      </c>
    </row>
    <row r="4" spans="1:8" ht="30" customHeight="1" x14ac:dyDescent="0.25">
      <c r="A4" s="19" t="s">
        <v>861</v>
      </c>
      <c r="B4" s="19" t="s">
        <v>862</v>
      </c>
      <c r="C4" s="20" t="s">
        <v>867</v>
      </c>
      <c r="D4" s="21" t="s">
        <v>868</v>
      </c>
      <c r="E4" s="17">
        <v>2</v>
      </c>
      <c r="F4" s="18" t="s">
        <v>710</v>
      </c>
      <c r="G4" s="21" t="s">
        <v>1311</v>
      </c>
      <c r="H4" s="21" t="s">
        <v>869</v>
      </c>
    </row>
    <row r="5" spans="1:8" ht="30" customHeight="1" x14ac:dyDescent="0.25">
      <c r="A5" s="14" t="s">
        <v>861</v>
      </c>
      <c r="B5" s="14" t="s">
        <v>862</v>
      </c>
      <c r="C5" s="15" t="s">
        <v>870</v>
      </c>
      <c r="D5" s="16" t="s">
        <v>871</v>
      </c>
      <c r="E5" s="17">
        <v>2</v>
      </c>
      <c r="F5" s="18" t="s">
        <v>20</v>
      </c>
      <c r="G5" s="16" t="s">
        <v>872</v>
      </c>
      <c r="H5" s="16"/>
    </row>
    <row r="6" spans="1:8" ht="30" customHeight="1" x14ac:dyDescent="0.25">
      <c r="A6" s="19" t="s">
        <v>861</v>
      </c>
      <c r="B6" s="19" t="s">
        <v>862</v>
      </c>
      <c r="C6" s="20" t="s">
        <v>873</v>
      </c>
      <c r="D6" s="21" t="s">
        <v>874</v>
      </c>
      <c r="E6" s="23">
        <v>3</v>
      </c>
      <c r="F6" s="18" t="s">
        <v>12</v>
      </c>
      <c r="G6" s="21" t="s">
        <v>875</v>
      </c>
      <c r="H6" s="21" t="s">
        <v>46</v>
      </c>
    </row>
    <row r="7" spans="1:8" ht="30" customHeight="1" x14ac:dyDescent="0.25">
      <c r="A7" s="14" t="s">
        <v>861</v>
      </c>
      <c r="B7" s="14" t="s">
        <v>862</v>
      </c>
      <c r="C7" s="15" t="s">
        <v>876</v>
      </c>
      <c r="D7" s="16" t="s">
        <v>877</v>
      </c>
      <c r="E7" s="23">
        <v>3</v>
      </c>
      <c r="F7" s="18" t="s">
        <v>20</v>
      </c>
      <c r="G7" s="16" t="s">
        <v>878</v>
      </c>
      <c r="H7" s="16"/>
    </row>
    <row r="8" spans="1:8" ht="18" customHeight="1" x14ac:dyDescent="0.25">
      <c r="A8" s="13" t="s">
        <v>879</v>
      </c>
      <c r="B8" s="13" t="s">
        <v>880</v>
      </c>
      <c r="C8" s="13"/>
      <c r="D8" s="13"/>
      <c r="E8" s="13"/>
      <c r="F8" s="13"/>
      <c r="G8" s="13"/>
      <c r="H8" s="13"/>
    </row>
    <row r="9" spans="1:8" ht="30" customHeight="1" x14ac:dyDescent="0.25">
      <c r="A9" s="14" t="s">
        <v>879</v>
      </c>
      <c r="B9" s="14" t="s">
        <v>880</v>
      </c>
      <c r="C9" s="15" t="s">
        <v>881</v>
      </c>
      <c r="D9" s="16" t="s">
        <v>882</v>
      </c>
      <c r="E9" s="22">
        <v>1</v>
      </c>
      <c r="F9" s="18" t="s">
        <v>418</v>
      </c>
      <c r="G9" s="16" t="s">
        <v>883</v>
      </c>
      <c r="H9" s="16" t="s">
        <v>884</v>
      </c>
    </row>
    <row r="10" spans="1:8" ht="30" customHeight="1" x14ac:dyDescent="0.25">
      <c r="A10" s="19" t="s">
        <v>879</v>
      </c>
      <c r="B10" s="19" t="s">
        <v>880</v>
      </c>
      <c r="C10" s="20" t="s">
        <v>885</v>
      </c>
      <c r="D10" s="21" t="s">
        <v>886</v>
      </c>
      <c r="E10" s="22">
        <v>1</v>
      </c>
      <c r="F10" s="18" t="s">
        <v>12</v>
      </c>
      <c r="G10" s="21" t="s">
        <v>887</v>
      </c>
      <c r="H10" s="21" t="s">
        <v>866</v>
      </c>
    </row>
    <row r="11" spans="1:8" ht="18" customHeight="1" x14ac:dyDescent="0.25">
      <c r="A11" s="13" t="s">
        <v>888</v>
      </c>
      <c r="B11" s="13" t="s">
        <v>889</v>
      </c>
      <c r="C11" s="13"/>
      <c r="D11" s="13"/>
      <c r="E11" s="13"/>
      <c r="F11" s="13"/>
      <c r="G11" s="13"/>
      <c r="H11" s="13"/>
    </row>
    <row r="12" spans="1:8" ht="30" customHeight="1" x14ac:dyDescent="0.25">
      <c r="A12" s="14" t="s">
        <v>888</v>
      </c>
      <c r="B12" s="14" t="s">
        <v>889</v>
      </c>
      <c r="C12" s="15" t="s">
        <v>890</v>
      </c>
      <c r="D12" s="16" t="s">
        <v>891</v>
      </c>
      <c r="E12" s="17">
        <v>2</v>
      </c>
      <c r="F12" s="18" t="s">
        <v>12</v>
      </c>
      <c r="G12" s="16" t="s">
        <v>892</v>
      </c>
      <c r="H12" s="16" t="s">
        <v>893</v>
      </c>
    </row>
    <row r="13" spans="1:8" ht="30" customHeight="1" x14ac:dyDescent="0.25">
      <c r="A13" s="19" t="s">
        <v>888</v>
      </c>
      <c r="B13" s="19" t="s">
        <v>889</v>
      </c>
      <c r="C13" s="20" t="s">
        <v>894</v>
      </c>
      <c r="D13" s="21" t="s">
        <v>895</v>
      </c>
      <c r="E13" s="17">
        <v>2</v>
      </c>
      <c r="F13" s="18" t="s">
        <v>12</v>
      </c>
      <c r="G13" s="21" t="s">
        <v>896</v>
      </c>
      <c r="H13" s="21" t="s">
        <v>893</v>
      </c>
    </row>
    <row r="14" spans="1:8" ht="30" customHeight="1" x14ac:dyDescent="0.25">
      <c r="A14" s="14" t="s">
        <v>888</v>
      </c>
      <c r="B14" s="14" t="s">
        <v>889</v>
      </c>
      <c r="C14" s="15" t="s">
        <v>897</v>
      </c>
      <c r="D14" s="16" t="s">
        <v>898</v>
      </c>
      <c r="E14" s="17">
        <v>2</v>
      </c>
      <c r="F14" s="18" t="s">
        <v>12</v>
      </c>
      <c r="G14" s="16" t="s">
        <v>899</v>
      </c>
      <c r="H14" s="16" t="s">
        <v>893</v>
      </c>
    </row>
    <row r="15" spans="1:8" ht="30" customHeight="1" x14ac:dyDescent="0.25">
      <c r="A15" s="19" t="s">
        <v>888</v>
      </c>
      <c r="B15" s="19" t="s">
        <v>889</v>
      </c>
      <c r="C15" s="20" t="s">
        <v>900</v>
      </c>
      <c r="D15" s="21" t="s">
        <v>901</v>
      </c>
      <c r="E15" s="17">
        <v>2</v>
      </c>
      <c r="F15" s="18" t="s">
        <v>12</v>
      </c>
      <c r="G15" s="21" t="s">
        <v>902</v>
      </c>
      <c r="H15" s="21" t="s">
        <v>893</v>
      </c>
    </row>
    <row r="16" spans="1:8" ht="30" customHeight="1" x14ac:dyDescent="0.25">
      <c r="A16" s="14" t="s">
        <v>888</v>
      </c>
      <c r="B16" s="14" t="s">
        <v>889</v>
      </c>
      <c r="C16" s="15" t="s">
        <v>903</v>
      </c>
      <c r="D16" s="16" t="s">
        <v>904</v>
      </c>
      <c r="E16" s="23">
        <v>3</v>
      </c>
      <c r="F16" s="18" t="s">
        <v>12</v>
      </c>
      <c r="G16" s="16" t="s">
        <v>905</v>
      </c>
      <c r="H16" s="16" t="s">
        <v>906</v>
      </c>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0C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6"/>
  <sheetViews>
    <sheetView zoomScale="75" zoomScaleNormal="75" workbookViewId="0">
      <pane ySplit="1" topLeftCell="A2" activePane="bottomLeft" state="frozen"/>
      <selection pane="bottomLeft"/>
    </sheetView>
  </sheetViews>
  <sheetFormatPr defaultColWidth="8.42578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2" t="s">
        <v>0</v>
      </c>
      <c r="B1" s="12" t="s">
        <v>1</v>
      </c>
      <c r="C1" s="12" t="s">
        <v>2</v>
      </c>
      <c r="D1" s="12" t="s">
        <v>3</v>
      </c>
      <c r="E1" s="12" t="s">
        <v>4</v>
      </c>
      <c r="F1" s="12" t="s">
        <v>5</v>
      </c>
      <c r="G1" s="12" t="s">
        <v>6</v>
      </c>
      <c r="H1" s="12" t="s">
        <v>7</v>
      </c>
    </row>
    <row r="2" spans="1:8" ht="18" customHeight="1" x14ac:dyDescent="0.25">
      <c r="A2" s="13" t="s">
        <v>907</v>
      </c>
      <c r="B2" s="13" t="s">
        <v>908</v>
      </c>
      <c r="C2" s="13"/>
      <c r="D2" s="13"/>
      <c r="E2" s="13"/>
      <c r="F2" s="13"/>
      <c r="G2" s="13"/>
      <c r="H2" s="13"/>
    </row>
    <row r="3" spans="1:8" ht="30" customHeight="1" x14ac:dyDescent="0.25">
      <c r="A3" s="14" t="s">
        <v>907</v>
      </c>
      <c r="B3" s="14" t="s">
        <v>908</v>
      </c>
      <c r="C3" s="15" t="s">
        <v>909</v>
      </c>
      <c r="D3" s="16" t="s">
        <v>910</v>
      </c>
      <c r="E3" s="17">
        <v>2</v>
      </c>
      <c r="F3" s="18" t="s">
        <v>12</v>
      </c>
      <c r="G3" s="16" t="s">
        <v>911</v>
      </c>
      <c r="H3" s="16" t="s">
        <v>912</v>
      </c>
    </row>
    <row r="4" spans="1:8" ht="30" customHeight="1" x14ac:dyDescent="0.25">
      <c r="A4" s="19" t="s">
        <v>907</v>
      </c>
      <c r="B4" s="19" t="s">
        <v>908</v>
      </c>
      <c r="C4" s="20" t="s">
        <v>913</v>
      </c>
      <c r="D4" s="21" t="s">
        <v>914</v>
      </c>
      <c r="E4" s="23">
        <v>3</v>
      </c>
      <c r="F4" s="18" t="s">
        <v>12</v>
      </c>
      <c r="G4" s="21" t="s">
        <v>915</v>
      </c>
      <c r="H4" s="21" t="s">
        <v>916</v>
      </c>
    </row>
    <row r="5" spans="1:8" ht="30" customHeight="1" x14ac:dyDescent="0.25">
      <c r="A5" s="14" t="s">
        <v>907</v>
      </c>
      <c r="B5" s="14" t="s">
        <v>908</v>
      </c>
      <c r="C5" s="15" t="s">
        <v>917</v>
      </c>
      <c r="D5" s="16" t="s">
        <v>918</v>
      </c>
      <c r="E5" s="23">
        <v>3</v>
      </c>
      <c r="F5" s="18" t="s">
        <v>12</v>
      </c>
      <c r="G5" s="16" t="s">
        <v>919</v>
      </c>
      <c r="H5" s="16" t="s">
        <v>920</v>
      </c>
    </row>
    <row r="6" spans="1:8" ht="30" customHeight="1" x14ac:dyDescent="0.25">
      <c r="A6" s="19" t="s">
        <v>907</v>
      </c>
      <c r="B6" s="19" t="s">
        <v>908</v>
      </c>
      <c r="C6" s="20" t="s">
        <v>921</v>
      </c>
      <c r="D6" s="21" t="s">
        <v>922</v>
      </c>
      <c r="E6" s="23">
        <v>3</v>
      </c>
      <c r="F6" s="18" t="s">
        <v>12</v>
      </c>
      <c r="G6" s="21" t="s">
        <v>923</v>
      </c>
      <c r="H6" s="21" t="s">
        <v>924</v>
      </c>
    </row>
    <row r="7" spans="1:8" ht="18" customHeight="1" x14ac:dyDescent="0.25">
      <c r="A7" s="13" t="s">
        <v>925</v>
      </c>
      <c r="B7" s="13" t="s">
        <v>926</v>
      </c>
      <c r="C7" s="13"/>
      <c r="D7" s="13"/>
      <c r="E7" s="13"/>
      <c r="F7" s="13"/>
      <c r="G7" s="13"/>
      <c r="H7" s="13"/>
    </row>
    <row r="8" spans="1:8" ht="30" customHeight="1" x14ac:dyDescent="0.25">
      <c r="A8" s="14" t="s">
        <v>925</v>
      </c>
      <c r="B8" s="14" t="s">
        <v>926</v>
      </c>
      <c r="C8" s="15" t="s">
        <v>927</v>
      </c>
      <c r="D8" s="16" t="s">
        <v>928</v>
      </c>
      <c r="E8" s="17">
        <v>2</v>
      </c>
      <c r="F8" s="18" t="s">
        <v>12</v>
      </c>
      <c r="G8" s="16" t="s">
        <v>929</v>
      </c>
      <c r="H8" s="16" t="s">
        <v>930</v>
      </c>
    </row>
    <row r="9" spans="1:8" ht="30" customHeight="1" x14ac:dyDescent="0.25">
      <c r="A9" s="19" t="s">
        <v>925</v>
      </c>
      <c r="B9" s="19" t="s">
        <v>926</v>
      </c>
      <c r="C9" s="20" t="s">
        <v>931</v>
      </c>
      <c r="D9" s="21" t="s">
        <v>932</v>
      </c>
      <c r="E9" s="17">
        <v>2</v>
      </c>
      <c r="F9" s="18" t="s">
        <v>12</v>
      </c>
      <c r="G9" s="21" t="s">
        <v>933</v>
      </c>
      <c r="H9" s="21" t="s">
        <v>893</v>
      </c>
    </row>
    <row r="10" spans="1:8" ht="30" customHeight="1" x14ac:dyDescent="0.25">
      <c r="A10" s="14" t="s">
        <v>925</v>
      </c>
      <c r="B10" s="14" t="s">
        <v>926</v>
      </c>
      <c r="C10" s="15" t="s">
        <v>934</v>
      </c>
      <c r="D10" s="16" t="s">
        <v>935</v>
      </c>
      <c r="E10" s="17">
        <v>2</v>
      </c>
      <c r="F10" s="18" t="s">
        <v>12</v>
      </c>
      <c r="G10" s="16" t="s">
        <v>936</v>
      </c>
      <c r="H10" s="16" t="s">
        <v>930</v>
      </c>
    </row>
    <row r="11" spans="1:8" ht="30" customHeight="1" x14ac:dyDescent="0.25">
      <c r="A11" s="19" t="s">
        <v>925</v>
      </c>
      <c r="B11" s="19" t="s">
        <v>926</v>
      </c>
      <c r="C11" s="20" t="s">
        <v>937</v>
      </c>
      <c r="D11" s="21" t="s">
        <v>938</v>
      </c>
      <c r="E11" s="17">
        <v>2</v>
      </c>
      <c r="F11" s="18" t="s">
        <v>12</v>
      </c>
      <c r="G11" s="21" t="s">
        <v>939</v>
      </c>
      <c r="H11" s="21" t="s">
        <v>940</v>
      </c>
    </row>
    <row r="12" spans="1:8" ht="30" customHeight="1" x14ac:dyDescent="0.25">
      <c r="A12" s="14" t="s">
        <v>925</v>
      </c>
      <c r="B12" s="14" t="s">
        <v>926</v>
      </c>
      <c r="C12" s="15" t="s">
        <v>941</v>
      </c>
      <c r="D12" s="16" t="s">
        <v>942</v>
      </c>
      <c r="E12" s="17">
        <v>2</v>
      </c>
      <c r="F12" s="18" t="s">
        <v>12</v>
      </c>
      <c r="G12" s="16" t="s">
        <v>943</v>
      </c>
      <c r="H12" s="16" t="s">
        <v>940</v>
      </c>
    </row>
    <row r="13" spans="1:8" ht="30" customHeight="1" x14ac:dyDescent="0.25">
      <c r="A13" s="19" t="s">
        <v>925</v>
      </c>
      <c r="B13" s="19" t="s">
        <v>926</v>
      </c>
      <c r="C13" s="20" t="s">
        <v>944</v>
      </c>
      <c r="D13" s="21" t="s">
        <v>945</v>
      </c>
      <c r="E13" s="23">
        <v>3</v>
      </c>
      <c r="F13" s="18" t="s">
        <v>12</v>
      </c>
      <c r="G13" s="21" t="s">
        <v>946</v>
      </c>
      <c r="H13" s="21" t="s">
        <v>947</v>
      </c>
    </row>
    <row r="14" spans="1:8" ht="18" customHeight="1" x14ac:dyDescent="0.25">
      <c r="A14" s="13" t="s">
        <v>948</v>
      </c>
      <c r="B14" s="13" t="s">
        <v>949</v>
      </c>
      <c r="C14" s="13"/>
      <c r="D14" s="13"/>
      <c r="E14" s="13"/>
      <c r="F14" s="13"/>
      <c r="G14" s="13"/>
      <c r="H14" s="13"/>
    </row>
    <row r="15" spans="1:8" ht="30" customHeight="1" x14ac:dyDescent="0.25">
      <c r="A15" s="14" t="s">
        <v>948</v>
      </c>
      <c r="B15" s="14" t="s">
        <v>949</v>
      </c>
      <c r="C15" s="15" t="s">
        <v>950</v>
      </c>
      <c r="D15" s="16" t="s">
        <v>951</v>
      </c>
      <c r="E15" s="17">
        <v>2</v>
      </c>
      <c r="F15" s="18" t="s">
        <v>12</v>
      </c>
      <c r="G15" s="16" t="s">
        <v>952</v>
      </c>
      <c r="H15" s="16" t="s">
        <v>953</v>
      </c>
    </row>
    <row r="16" spans="1:8" ht="30" customHeight="1" x14ac:dyDescent="0.25">
      <c r="A16" s="19" t="s">
        <v>948</v>
      </c>
      <c r="B16" s="19" t="s">
        <v>949</v>
      </c>
      <c r="C16" s="20" t="s">
        <v>954</v>
      </c>
      <c r="D16" s="21" t="s">
        <v>955</v>
      </c>
      <c r="E16" s="17">
        <v>2</v>
      </c>
      <c r="F16" s="18" t="s">
        <v>12</v>
      </c>
      <c r="G16" s="21" t="s">
        <v>956</v>
      </c>
      <c r="H16" s="21" t="s">
        <v>957</v>
      </c>
    </row>
    <row r="17" spans="1:8" ht="30" customHeight="1" x14ac:dyDescent="0.25">
      <c r="A17" s="14" t="s">
        <v>948</v>
      </c>
      <c r="B17" s="14" t="s">
        <v>949</v>
      </c>
      <c r="C17" s="15" t="s">
        <v>958</v>
      </c>
      <c r="D17" s="16" t="s">
        <v>959</v>
      </c>
      <c r="E17" s="23">
        <v>3</v>
      </c>
      <c r="F17" s="18" t="s">
        <v>20</v>
      </c>
      <c r="G17" s="16" t="s">
        <v>960</v>
      </c>
      <c r="H17" s="16"/>
    </row>
    <row r="18" spans="1:8" ht="30" customHeight="1" x14ac:dyDescent="0.25">
      <c r="A18" s="19" t="s">
        <v>948</v>
      </c>
      <c r="B18" s="19" t="s">
        <v>949</v>
      </c>
      <c r="C18" s="20" t="s">
        <v>961</v>
      </c>
      <c r="D18" s="21" t="s">
        <v>962</v>
      </c>
      <c r="E18" s="23">
        <v>3</v>
      </c>
      <c r="F18" s="18" t="s">
        <v>12</v>
      </c>
      <c r="G18" s="21" t="s">
        <v>963</v>
      </c>
      <c r="H18" s="21" t="s">
        <v>924</v>
      </c>
    </row>
    <row r="19" spans="1:8" ht="18" customHeight="1" x14ac:dyDescent="0.25">
      <c r="A19" s="13" t="s">
        <v>964</v>
      </c>
      <c r="B19" s="13" t="s">
        <v>965</v>
      </c>
      <c r="C19" s="13"/>
      <c r="D19" s="13"/>
      <c r="E19" s="13"/>
      <c r="F19" s="13"/>
      <c r="G19" s="13"/>
      <c r="H19" s="13"/>
    </row>
    <row r="20" spans="1:8" ht="30" customHeight="1" x14ac:dyDescent="0.25">
      <c r="A20" s="14" t="s">
        <v>964</v>
      </c>
      <c r="B20" s="14" t="s">
        <v>965</v>
      </c>
      <c r="C20" s="15" t="s">
        <v>966</v>
      </c>
      <c r="D20" s="16" t="s">
        <v>967</v>
      </c>
      <c r="E20" s="22">
        <v>1</v>
      </c>
      <c r="F20" s="18" t="s">
        <v>418</v>
      </c>
      <c r="G20" s="16" t="s">
        <v>968</v>
      </c>
      <c r="H20" s="16" t="s">
        <v>969</v>
      </c>
    </row>
    <row r="21" spans="1:8" ht="30" customHeight="1" x14ac:dyDescent="0.25">
      <c r="A21" s="19" t="s">
        <v>964</v>
      </c>
      <c r="B21" s="19" t="s">
        <v>965</v>
      </c>
      <c r="C21" s="20" t="s">
        <v>970</v>
      </c>
      <c r="D21" s="21" t="s">
        <v>971</v>
      </c>
      <c r="E21" s="17">
        <v>2</v>
      </c>
      <c r="F21" s="18" t="s">
        <v>418</v>
      </c>
      <c r="G21" s="21" t="s">
        <v>972</v>
      </c>
      <c r="H21" s="21" t="s">
        <v>973</v>
      </c>
    </row>
    <row r="22" spans="1:8" ht="30" customHeight="1" x14ac:dyDescent="0.25">
      <c r="A22" s="14" t="s">
        <v>964</v>
      </c>
      <c r="B22" s="14" t="s">
        <v>965</v>
      </c>
      <c r="C22" s="15" t="s">
        <v>974</v>
      </c>
      <c r="D22" s="16" t="s">
        <v>975</v>
      </c>
      <c r="E22" s="17">
        <v>2</v>
      </c>
      <c r="F22" s="18" t="s">
        <v>20</v>
      </c>
      <c r="G22" s="16" t="s">
        <v>976</v>
      </c>
      <c r="H22" s="16"/>
    </row>
    <row r="23" spans="1:8" ht="30" customHeight="1" x14ac:dyDescent="0.25">
      <c r="A23" s="19" t="s">
        <v>964</v>
      </c>
      <c r="B23" s="19" t="s">
        <v>965</v>
      </c>
      <c r="C23" s="20" t="s">
        <v>977</v>
      </c>
      <c r="D23" s="21" t="s">
        <v>978</v>
      </c>
      <c r="E23" s="17">
        <v>2</v>
      </c>
      <c r="F23" s="18" t="s">
        <v>12</v>
      </c>
      <c r="G23" s="21" t="s">
        <v>979</v>
      </c>
      <c r="H23" s="21" t="s">
        <v>980</v>
      </c>
    </row>
    <row r="24" spans="1:8" ht="30" customHeight="1" x14ac:dyDescent="0.25">
      <c r="A24" s="14" t="s">
        <v>964</v>
      </c>
      <c r="B24" s="14" t="s">
        <v>965</v>
      </c>
      <c r="C24" s="15" t="s">
        <v>981</v>
      </c>
      <c r="D24" s="16" t="s">
        <v>982</v>
      </c>
      <c r="E24" s="17">
        <v>2</v>
      </c>
      <c r="F24" s="18" t="s">
        <v>418</v>
      </c>
      <c r="G24" s="16" t="s">
        <v>983</v>
      </c>
      <c r="H24" s="16" t="s">
        <v>984</v>
      </c>
    </row>
    <row r="25" spans="1:8" ht="30" customHeight="1" x14ac:dyDescent="0.25">
      <c r="A25" s="19" t="s">
        <v>964</v>
      </c>
      <c r="B25" s="19" t="s">
        <v>965</v>
      </c>
      <c r="C25" s="20" t="s">
        <v>985</v>
      </c>
      <c r="D25" s="21" t="s">
        <v>986</v>
      </c>
      <c r="E25" s="23">
        <v>3</v>
      </c>
      <c r="F25" s="18" t="s">
        <v>12</v>
      </c>
      <c r="G25" s="21" t="s">
        <v>987</v>
      </c>
      <c r="H25" s="21" t="s">
        <v>988</v>
      </c>
    </row>
    <row r="26" spans="1:8" ht="30" customHeight="1" x14ac:dyDescent="0.25">
      <c r="A26" s="14" t="s">
        <v>964</v>
      </c>
      <c r="B26" s="14" t="s">
        <v>965</v>
      </c>
      <c r="C26" s="15" t="s">
        <v>989</v>
      </c>
      <c r="D26" s="16" t="s">
        <v>990</v>
      </c>
      <c r="E26" s="23">
        <v>3</v>
      </c>
      <c r="F26" s="18" t="s">
        <v>20</v>
      </c>
      <c r="G26" s="16" t="s">
        <v>991</v>
      </c>
      <c r="H26" s="16"/>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D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7"/>
  <sheetViews>
    <sheetView zoomScale="75" zoomScaleNormal="75" workbookViewId="0">
      <pane ySplit="1" topLeftCell="A2" activePane="bottomLeft" state="frozen"/>
      <selection pane="bottomLeft"/>
    </sheetView>
  </sheetViews>
  <sheetFormatPr defaultColWidth="8.42578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2" t="s">
        <v>0</v>
      </c>
      <c r="B1" s="12" t="s">
        <v>1</v>
      </c>
      <c r="C1" s="12" t="s">
        <v>2</v>
      </c>
      <c r="D1" s="12" t="s">
        <v>3</v>
      </c>
      <c r="E1" s="12" t="s">
        <v>4</v>
      </c>
      <c r="F1" s="12" t="s">
        <v>5</v>
      </c>
      <c r="G1" s="12" t="s">
        <v>6</v>
      </c>
      <c r="H1" s="12" t="s">
        <v>7</v>
      </c>
    </row>
    <row r="2" spans="1:8" ht="18" customHeight="1" x14ac:dyDescent="0.25">
      <c r="A2" s="13" t="s">
        <v>992</v>
      </c>
      <c r="B2" s="13" t="s">
        <v>993</v>
      </c>
      <c r="C2" s="13"/>
      <c r="D2" s="13"/>
      <c r="E2" s="13"/>
      <c r="F2" s="13"/>
      <c r="G2" s="13"/>
      <c r="H2" s="13"/>
    </row>
    <row r="3" spans="1:8" ht="30" customHeight="1" x14ac:dyDescent="0.25">
      <c r="A3" s="14" t="s">
        <v>992</v>
      </c>
      <c r="B3" s="14" t="s">
        <v>993</v>
      </c>
      <c r="C3" s="15" t="s">
        <v>994</v>
      </c>
      <c r="D3" s="16" t="s">
        <v>995</v>
      </c>
      <c r="E3" s="17">
        <v>2</v>
      </c>
      <c r="F3" s="18" t="s">
        <v>12</v>
      </c>
      <c r="G3" s="16" t="s">
        <v>996</v>
      </c>
      <c r="H3" s="16" t="s">
        <v>997</v>
      </c>
    </row>
    <row r="4" spans="1:8" ht="30" customHeight="1" x14ac:dyDescent="0.25">
      <c r="A4" s="19" t="s">
        <v>992</v>
      </c>
      <c r="B4" s="19" t="s">
        <v>993</v>
      </c>
      <c r="C4" s="20" t="s">
        <v>998</v>
      </c>
      <c r="D4" s="21" t="s">
        <v>999</v>
      </c>
      <c r="E4" s="17">
        <v>2</v>
      </c>
      <c r="F4" s="18" t="s">
        <v>12</v>
      </c>
      <c r="G4" s="21" t="s">
        <v>1000</v>
      </c>
      <c r="H4" s="21" t="s">
        <v>1001</v>
      </c>
    </row>
    <row r="5" spans="1:8" ht="18" customHeight="1" x14ac:dyDescent="0.25">
      <c r="A5" s="13" t="s">
        <v>1002</v>
      </c>
      <c r="B5" s="13" t="s">
        <v>1003</v>
      </c>
      <c r="C5" s="13"/>
      <c r="D5" s="13"/>
      <c r="E5" s="13"/>
      <c r="F5" s="13"/>
      <c r="G5" s="13"/>
      <c r="H5" s="13"/>
    </row>
    <row r="6" spans="1:8" ht="30" customHeight="1" x14ac:dyDescent="0.25">
      <c r="A6" s="14" t="s">
        <v>1002</v>
      </c>
      <c r="B6" s="14" t="s">
        <v>1003</v>
      </c>
      <c r="C6" s="15" t="s">
        <v>1004</v>
      </c>
      <c r="D6" s="16" t="s">
        <v>1005</v>
      </c>
      <c r="E6" s="22">
        <v>1</v>
      </c>
      <c r="F6" s="18" t="s">
        <v>12</v>
      </c>
      <c r="G6" s="16" t="s">
        <v>1006</v>
      </c>
      <c r="H6" s="16" t="s">
        <v>1007</v>
      </c>
    </row>
    <row r="7" spans="1:8" ht="30" customHeight="1" x14ac:dyDescent="0.25">
      <c r="A7" s="19" t="s">
        <v>1002</v>
      </c>
      <c r="B7" s="19" t="s">
        <v>1003</v>
      </c>
      <c r="C7" s="20" t="s">
        <v>1008</v>
      </c>
      <c r="D7" s="21" t="s">
        <v>1009</v>
      </c>
      <c r="E7" s="17">
        <v>2</v>
      </c>
      <c r="F7" s="18" t="s">
        <v>12</v>
      </c>
      <c r="G7" s="21" t="s">
        <v>1010</v>
      </c>
      <c r="H7" s="21" t="s">
        <v>1011</v>
      </c>
    </row>
    <row r="8" spans="1:8" ht="30" customHeight="1" x14ac:dyDescent="0.25">
      <c r="A8" s="14" t="s">
        <v>1002</v>
      </c>
      <c r="B8" s="14" t="s">
        <v>1003</v>
      </c>
      <c r="C8" s="15" t="s">
        <v>1012</v>
      </c>
      <c r="D8" s="16" t="s">
        <v>1013</v>
      </c>
      <c r="E8" s="17">
        <v>2</v>
      </c>
      <c r="F8" s="18" t="s">
        <v>20</v>
      </c>
      <c r="G8" s="16" t="s">
        <v>1014</v>
      </c>
      <c r="H8" s="16"/>
    </row>
    <row r="9" spans="1:8" ht="30" customHeight="1" x14ac:dyDescent="0.25">
      <c r="A9" s="19" t="s">
        <v>1002</v>
      </c>
      <c r="B9" s="19" t="s">
        <v>1003</v>
      </c>
      <c r="C9" s="20" t="s">
        <v>1015</v>
      </c>
      <c r="D9" s="21" t="s">
        <v>1016</v>
      </c>
      <c r="E9" s="17">
        <v>2</v>
      </c>
      <c r="F9" s="18" t="s">
        <v>12</v>
      </c>
      <c r="G9" s="21" t="s">
        <v>1017</v>
      </c>
      <c r="H9" s="21" t="s">
        <v>1018</v>
      </c>
    </row>
    <row r="10" spans="1:8" ht="30" customHeight="1" x14ac:dyDescent="0.25">
      <c r="A10" s="14" t="s">
        <v>1002</v>
      </c>
      <c r="B10" s="14" t="s">
        <v>1003</v>
      </c>
      <c r="C10" s="15" t="s">
        <v>1019</v>
      </c>
      <c r="D10" s="16" t="s">
        <v>1020</v>
      </c>
      <c r="E10" s="23">
        <v>3</v>
      </c>
      <c r="F10" s="18" t="s">
        <v>12</v>
      </c>
      <c r="G10" s="16" t="s">
        <v>1021</v>
      </c>
      <c r="H10" s="16" t="s">
        <v>1011</v>
      </c>
    </row>
    <row r="11" spans="1:8" ht="30" customHeight="1" x14ac:dyDescent="0.25">
      <c r="A11" s="19" t="s">
        <v>1002</v>
      </c>
      <c r="B11" s="19" t="s">
        <v>1003</v>
      </c>
      <c r="C11" s="20" t="s">
        <v>1022</v>
      </c>
      <c r="D11" s="21" t="s">
        <v>1023</v>
      </c>
      <c r="E11" s="23">
        <v>3</v>
      </c>
      <c r="F11" s="18" t="s">
        <v>12</v>
      </c>
      <c r="G11" s="21" t="s">
        <v>1024</v>
      </c>
      <c r="H11" s="21" t="s">
        <v>127</v>
      </c>
    </row>
    <row r="12" spans="1:8" ht="30" customHeight="1" x14ac:dyDescent="0.25">
      <c r="A12" s="14" t="s">
        <v>1002</v>
      </c>
      <c r="B12" s="14" t="s">
        <v>1003</v>
      </c>
      <c r="C12" s="15" t="s">
        <v>1025</v>
      </c>
      <c r="D12" s="16" t="s">
        <v>1026</v>
      </c>
      <c r="E12" s="23">
        <v>3</v>
      </c>
      <c r="F12" s="18" t="s">
        <v>12</v>
      </c>
      <c r="G12" s="16" t="s">
        <v>1027</v>
      </c>
      <c r="H12" s="16" t="s">
        <v>1028</v>
      </c>
    </row>
    <row r="13" spans="1:8" ht="30" customHeight="1" x14ac:dyDescent="0.25">
      <c r="A13" s="19" t="s">
        <v>1002</v>
      </c>
      <c r="B13" s="19" t="s">
        <v>1003</v>
      </c>
      <c r="C13" s="20" t="s">
        <v>1029</v>
      </c>
      <c r="D13" s="21" t="s">
        <v>1030</v>
      </c>
      <c r="E13" s="23">
        <v>3</v>
      </c>
      <c r="F13" s="18" t="s">
        <v>20</v>
      </c>
      <c r="G13" s="21" t="s">
        <v>1031</v>
      </c>
      <c r="H13" s="21"/>
    </row>
    <row r="14" spans="1:8" ht="18" customHeight="1" x14ac:dyDescent="0.25">
      <c r="A14" s="13" t="s">
        <v>1032</v>
      </c>
      <c r="B14" s="13" t="s">
        <v>1033</v>
      </c>
      <c r="C14" s="13"/>
      <c r="D14" s="13"/>
      <c r="E14" s="13"/>
      <c r="F14" s="13"/>
      <c r="G14" s="13"/>
      <c r="H14" s="13"/>
    </row>
    <row r="15" spans="1:8" ht="30" customHeight="1" x14ac:dyDescent="0.25">
      <c r="A15" s="14" t="s">
        <v>1032</v>
      </c>
      <c r="B15" s="14" t="s">
        <v>1033</v>
      </c>
      <c r="C15" s="15" t="s">
        <v>1034</v>
      </c>
      <c r="D15" s="16" t="s">
        <v>1035</v>
      </c>
      <c r="E15" s="22">
        <v>1</v>
      </c>
      <c r="F15" s="18" t="s">
        <v>20</v>
      </c>
      <c r="G15" s="16" t="s">
        <v>1036</v>
      </c>
      <c r="H15" s="16"/>
    </row>
    <row r="16" spans="1:8" ht="30" customHeight="1" x14ac:dyDescent="0.25">
      <c r="A16" s="19" t="s">
        <v>1032</v>
      </c>
      <c r="B16" s="19" t="s">
        <v>1033</v>
      </c>
      <c r="C16" s="20" t="s">
        <v>1037</v>
      </c>
      <c r="D16" s="21" t="s">
        <v>1038</v>
      </c>
      <c r="E16" s="17">
        <v>2</v>
      </c>
      <c r="F16" s="18" t="s">
        <v>12</v>
      </c>
      <c r="G16" s="21" t="s">
        <v>1039</v>
      </c>
      <c r="H16" s="21" t="s">
        <v>1011</v>
      </c>
    </row>
    <row r="17" spans="1:8" ht="30" customHeight="1" x14ac:dyDescent="0.25">
      <c r="A17" s="14" t="s">
        <v>1032</v>
      </c>
      <c r="B17" s="14" t="s">
        <v>1033</v>
      </c>
      <c r="C17" s="15" t="s">
        <v>1040</v>
      </c>
      <c r="D17" s="16" t="s">
        <v>1041</v>
      </c>
      <c r="E17" s="17">
        <v>2</v>
      </c>
      <c r="F17" s="18" t="s">
        <v>20</v>
      </c>
      <c r="G17" s="16" t="s">
        <v>1042</v>
      </c>
      <c r="H17" s="16"/>
    </row>
  </sheetData>
  <conditionalFormatting sqref="F2:F17">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7" xr:uid="{00000000-0002-0000-0E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6"/>
  <sheetViews>
    <sheetView topLeftCell="E1" zoomScale="75" zoomScaleNormal="75" workbookViewId="0">
      <pane ySplit="1" topLeftCell="A3" activePane="bottomLeft" state="frozen"/>
      <selection pane="bottomLeft" activeCell="I13" sqref="I13"/>
    </sheetView>
  </sheetViews>
  <sheetFormatPr defaultColWidth="8.42578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2" t="s">
        <v>0</v>
      </c>
      <c r="B1" s="12" t="s">
        <v>1</v>
      </c>
      <c r="C1" s="12" t="s">
        <v>2</v>
      </c>
      <c r="D1" s="12" t="s">
        <v>3</v>
      </c>
      <c r="E1" s="12" t="s">
        <v>4</v>
      </c>
      <c r="F1" s="12" t="s">
        <v>5</v>
      </c>
      <c r="G1" s="12" t="s">
        <v>6</v>
      </c>
      <c r="H1" s="12" t="s">
        <v>7</v>
      </c>
    </row>
    <row r="2" spans="1:8" ht="18" customHeight="1" x14ac:dyDescent="0.25">
      <c r="A2" s="13" t="s">
        <v>1043</v>
      </c>
      <c r="B2" s="13" t="s">
        <v>1044</v>
      </c>
      <c r="C2" s="13"/>
      <c r="D2" s="13"/>
      <c r="E2" s="13"/>
      <c r="F2" s="13"/>
      <c r="G2" s="13"/>
      <c r="H2" s="13"/>
    </row>
    <row r="3" spans="1:8" ht="30" customHeight="1" x14ac:dyDescent="0.25">
      <c r="A3" s="14" t="s">
        <v>1043</v>
      </c>
      <c r="B3" s="14" t="s">
        <v>1044</v>
      </c>
      <c r="C3" s="15" t="s">
        <v>1045</v>
      </c>
      <c r="D3" s="16" t="s">
        <v>1046</v>
      </c>
      <c r="E3" s="22">
        <v>1</v>
      </c>
      <c r="F3" s="18" t="s">
        <v>12</v>
      </c>
      <c r="G3" s="16" t="s">
        <v>1047</v>
      </c>
      <c r="H3" s="16" t="s">
        <v>1048</v>
      </c>
    </row>
    <row r="4" spans="1:8" ht="30" customHeight="1" x14ac:dyDescent="0.25">
      <c r="A4" s="19" t="s">
        <v>1043</v>
      </c>
      <c r="B4" s="19" t="s">
        <v>1044</v>
      </c>
      <c r="C4" s="20" t="s">
        <v>1049</v>
      </c>
      <c r="D4" s="21" t="s">
        <v>1050</v>
      </c>
      <c r="E4" s="17">
        <v>2</v>
      </c>
      <c r="F4" s="18" t="s">
        <v>12</v>
      </c>
      <c r="G4" s="21" t="s">
        <v>1051</v>
      </c>
      <c r="H4" s="21" t="s">
        <v>1052</v>
      </c>
    </row>
    <row r="5" spans="1:8" ht="30" customHeight="1" x14ac:dyDescent="0.25">
      <c r="A5" s="14" t="s">
        <v>1043</v>
      </c>
      <c r="B5" s="14" t="s">
        <v>1044</v>
      </c>
      <c r="C5" s="15" t="s">
        <v>1053</v>
      </c>
      <c r="D5" s="16" t="s">
        <v>1054</v>
      </c>
      <c r="E5" s="17">
        <v>2</v>
      </c>
      <c r="F5" s="18" t="s">
        <v>12</v>
      </c>
      <c r="G5" s="16" t="s">
        <v>1055</v>
      </c>
      <c r="H5" s="16" t="s">
        <v>1056</v>
      </c>
    </row>
    <row r="6" spans="1:8" ht="30" customHeight="1" x14ac:dyDescent="0.25">
      <c r="A6" s="19" t="s">
        <v>1043</v>
      </c>
      <c r="B6" s="19" t="s">
        <v>1044</v>
      </c>
      <c r="C6" s="20" t="s">
        <v>1057</v>
      </c>
      <c r="D6" s="21" t="s">
        <v>1058</v>
      </c>
      <c r="E6" s="23">
        <v>3</v>
      </c>
      <c r="F6" s="18" t="s">
        <v>12</v>
      </c>
      <c r="G6" s="21" t="s">
        <v>1059</v>
      </c>
      <c r="H6" s="21" t="s">
        <v>1060</v>
      </c>
    </row>
    <row r="7" spans="1:8" ht="30" customHeight="1" x14ac:dyDescent="0.25">
      <c r="A7" s="14" t="s">
        <v>1043</v>
      </c>
      <c r="B7" s="14" t="s">
        <v>1044</v>
      </c>
      <c r="C7" s="15" t="s">
        <v>1061</v>
      </c>
      <c r="D7" s="16" t="s">
        <v>1062</v>
      </c>
      <c r="E7" s="23">
        <v>3</v>
      </c>
      <c r="F7" s="18" t="s">
        <v>12</v>
      </c>
      <c r="G7" s="16" t="s">
        <v>1063</v>
      </c>
      <c r="H7" s="16" t="s">
        <v>1064</v>
      </c>
    </row>
    <row r="8" spans="1:8" ht="18" customHeight="1" x14ac:dyDescent="0.25">
      <c r="A8" s="13" t="s">
        <v>1065</v>
      </c>
      <c r="B8" s="13" t="s">
        <v>1066</v>
      </c>
      <c r="C8" s="13"/>
      <c r="D8" s="13"/>
      <c r="E8" s="13"/>
      <c r="F8" s="13"/>
      <c r="G8" s="13"/>
      <c r="H8" s="13"/>
    </row>
    <row r="9" spans="1:8" ht="30" customHeight="1" x14ac:dyDescent="0.25">
      <c r="A9" s="14" t="s">
        <v>1065</v>
      </c>
      <c r="B9" s="14" t="s">
        <v>1066</v>
      </c>
      <c r="C9" s="15" t="s">
        <v>1067</v>
      </c>
      <c r="D9" s="16" t="s">
        <v>1068</v>
      </c>
      <c r="E9" s="22">
        <v>1</v>
      </c>
      <c r="F9" s="18" t="s">
        <v>418</v>
      </c>
      <c r="G9" s="16" t="s">
        <v>1069</v>
      </c>
      <c r="H9" s="16" t="s">
        <v>1048</v>
      </c>
    </row>
    <row r="10" spans="1:8" ht="30" customHeight="1" x14ac:dyDescent="0.25">
      <c r="A10" s="19" t="s">
        <v>1065</v>
      </c>
      <c r="B10" s="19" t="s">
        <v>1066</v>
      </c>
      <c r="C10" s="20" t="s">
        <v>1070</v>
      </c>
      <c r="D10" s="21" t="s">
        <v>1071</v>
      </c>
      <c r="E10" s="17">
        <v>2</v>
      </c>
      <c r="F10" s="18" t="s">
        <v>12</v>
      </c>
      <c r="G10" s="21" t="s">
        <v>1072</v>
      </c>
      <c r="H10" s="21" t="s">
        <v>1073</v>
      </c>
    </row>
    <row r="11" spans="1:8" ht="30" customHeight="1" x14ac:dyDescent="0.25">
      <c r="A11" s="14" t="s">
        <v>1065</v>
      </c>
      <c r="B11" s="14" t="s">
        <v>1066</v>
      </c>
      <c r="C11" s="15" t="s">
        <v>1074</v>
      </c>
      <c r="D11" s="16" t="s">
        <v>1075</v>
      </c>
      <c r="E11" s="17">
        <v>2</v>
      </c>
      <c r="F11" s="18" t="s">
        <v>418</v>
      </c>
      <c r="G11" s="16" t="s">
        <v>1076</v>
      </c>
      <c r="H11" s="16" t="s">
        <v>1077</v>
      </c>
    </row>
    <row r="12" spans="1:8" ht="30" customHeight="1" x14ac:dyDescent="0.25">
      <c r="A12" s="19" t="s">
        <v>1065</v>
      </c>
      <c r="B12" s="19" t="s">
        <v>1066</v>
      </c>
      <c r="C12" s="20" t="s">
        <v>1078</v>
      </c>
      <c r="D12" s="21" t="s">
        <v>1079</v>
      </c>
      <c r="E12" s="23">
        <v>3</v>
      </c>
      <c r="F12" s="18" t="s">
        <v>12</v>
      </c>
      <c r="G12" s="21" t="s">
        <v>1080</v>
      </c>
      <c r="H12" s="21" t="s">
        <v>1081</v>
      </c>
    </row>
    <row r="13" spans="1:8" ht="30" customHeight="1" x14ac:dyDescent="0.25">
      <c r="A13" s="14" t="s">
        <v>1065</v>
      </c>
      <c r="B13" s="14" t="s">
        <v>1066</v>
      </c>
      <c r="C13" s="15" t="s">
        <v>1082</v>
      </c>
      <c r="D13" s="16" t="s">
        <v>1083</v>
      </c>
      <c r="E13" s="23">
        <v>3</v>
      </c>
      <c r="F13" s="18" t="s">
        <v>12</v>
      </c>
      <c r="G13" s="16" t="s">
        <v>1084</v>
      </c>
      <c r="H13" s="16" t="s">
        <v>1085</v>
      </c>
    </row>
    <row r="14" spans="1:8" ht="18" customHeight="1" x14ac:dyDescent="0.25">
      <c r="A14" s="13" t="s">
        <v>1086</v>
      </c>
      <c r="B14" s="13" t="s">
        <v>1087</v>
      </c>
      <c r="C14" s="13"/>
      <c r="D14" s="13"/>
      <c r="E14" s="13"/>
      <c r="F14" s="13"/>
      <c r="G14" s="13"/>
      <c r="H14" s="13"/>
    </row>
    <row r="15" spans="1:8" ht="30" customHeight="1" x14ac:dyDescent="0.25">
      <c r="A15" s="14" t="s">
        <v>1086</v>
      </c>
      <c r="B15" s="14" t="s">
        <v>1087</v>
      </c>
      <c r="C15" s="15" t="s">
        <v>1088</v>
      </c>
      <c r="D15" s="16" t="s">
        <v>1089</v>
      </c>
      <c r="E15" s="22">
        <v>1</v>
      </c>
      <c r="F15" s="18" t="s">
        <v>12</v>
      </c>
      <c r="G15" s="16" t="s">
        <v>1090</v>
      </c>
      <c r="H15" s="16" t="s">
        <v>718</v>
      </c>
    </row>
    <row r="16" spans="1:8" ht="30" customHeight="1" x14ac:dyDescent="0.25">
      <c r="A16" s="19" t="s">
        <v>1086</v>
      </c>
      <c r="B16" s="19" t="s">
        <v>1087</v>
      </c>
      <c r="C16" s="20" t="s">
        <v>1091</v>
      </c>
      <c r="D16" s="21" t="s">
        <v>1092</v>
      </c>
      <c r="E16" s="17">
        <v>2</v>
      </c>
      <c r="F16" s="18" t="s">
        <v>12</v>
      </c>
      <c r="G16" s="21" t="s">
        <v>1093</v>
      </c>
      <c r="H16" s="21" t="s">
        <v>940</v>
      </c>
    </row>
    <row r="17" spans="1:8" ht="30" customHeight="1" x14ac:dyDescent="0.25">
      <c r="A17" s="14" t="s">
        <v>1086</v>
      </c>
      <c r="B17" s="14" t="s">
        <v>1087</v>
      </c>
      <c r="C17" s="15" t="s">
        <v>1094</v>
      </c>
      <c r="D17" s="16" t="s">
        <v>1095</v>
      </c>
      <c r="E17" s="17">
        <v>2</v>
      </c>
      <c r="F17" s="18" t="s">
        <v>12</v>
      </c>
      <c r="G17" s="16" t="s">
        <v>1096</v>
      </c>
      <c r="H17" s="16" t="s">
        <v>1097</v>
      </c>
    </row>
    <row r="18" spans="1:8" ht="30" customHeight="1" x14ac:dyDescent="0.25">
      <c r="A18" s="19" t="s">
        <v>1086</v>
      </c>
      <c r="B18" s="19" t="s">
        <v>1087</v>
      </c>
      <c r="C18" s="20" t="s">
        <v>1098</v>
      </c>
      <c r="D18" s="21" t="s">
        <v>1099</v>
      </c>
      <c r="E18" s="17">
        <v>2</v>
      </c>
      <c r="F18" s="18" t="s">
        <v>418</v>
      </c>
      <c r="G18" s="21" t="s">
        <v>1100</v>
      </c>
      <c r="H18" s="21" t="s">
        <v>1101</v>
      </c>
    </row>
    <row r="19" spans="1:8" ht="30" customHeight="1" x14ac:dyDescent="0.25">
      <c r="A19" s="14" t="s">
        <v>1086</v>
      </c>
      <c r="B19" s="14" t="s">
        <v>1087</v>
      </c>
      <c r="C19" s="15" t="s">
        <v>1102</v>
      </c>
      <c r="D19" s="16" t="s">
        <v>1103</v>
      </c>
      <c r="E19" s="17">
        <v>2</v>
      </c>
      <c r="F19" s="18" t="s">
        <v>12</v>
      </c>
      <c r="G19" s="16" t="s">
        <v>1104</v>
      </c>
      <c r="H19" s="16" t="s">
        <v>232</v>
      </c>
    </row>
    <row r="20" spans="1:8" ht="30" customHeight="1" x14ac:dyDescent="0.25">
      <c r="A20" s="19" t="s">
        <v>1086</v>
      </c>
      <c r="B20" s="19" t="s">
        <v>1087</v>
      </c>
      <c r="C20" s="20" t="s">
        <v>1105</v>
      </c>
      <c r="D20" s="21" t="s">
        <v>1106</v>
      </c>
      <c r="E20" s="17">
        <v>2</v>
      </c>
      <c r="F20" s="18" t="s">
        <v>20</v>
      </c>
      <c r="G20" s="21" t="s">
        <v>1107</v>
      </c>
      <c r="H20" s="21"/>
    </row>
    <row r="21" spans="1:8" ht="30" customHeight="1" x14ac:dyDescent="0.25">
      <c r="A21" s="14" t="s">
        <v>1086</v>
      </c>
      <c r="B21" s="14" t="s">
        <v>1087</v>
      </c>
      <c r="C21" s="15" t="s">
        <v>1108</v>
      </c>
      <c r="D21" s="16" t="s">
        <v>1109</v>
      </c>
      <c r="E21" s="17">
        <v>2</v>
      </c>
      <c r="F21" s="18" t="s">
        <v>12</v>
      </c>
      <c r="G21" s="16" t="s">
        <v>1110</v>
      </c>
      <c r="H21" s="16" t="s">
        <v>232</v>
      </c>
    </row>
    <row r="22" spans="1:8" ht="18" customHeight="1" x14ac:dyDescent="0.25">
      <c r="A22" s="13" t="s">
        <v>1111</v>
      </c>
      <c r="B22" s="13" t="s">
        <v>1112</v>
      </c>
      <c r="C22" s="13"/>
      <c r="D22" s="13"/>
      <c r="E22" s="13"/>
      <c r="F22" s="13"/>
      <c r="G22" s="13"/>
      <c r="H22" s="13"/>
    </row>
    <row r="23" spans="1:8" ht="30" customHeight="1" x14ac:dyDescent="0.25">
      <c r="A23" s="14" t="s">
        <v>1111</v>
      </c>
      <c r="B23" s="14" t="s">
        <v>1112</v>
      </c>
      <c r="C23" s="15" t="s">
        <v>1113</v>
      </c>
      <c r="D23" s="16" t="s">
        <v>1114</v>
      </c>
      <c r="E23" s="23">
        <v>3</v>
      </c>
      <c r="F23" s="18" t="s">
        <v>12</v>
      </c>
      <c r="G23" s="16" t="s">
        <v>1115</v>
      </c>
      <c r="H23" s="16" t="s">
        <v>916</v>
      </c>
    </row>
    <row r="24" spans="1:8" ht="30" customHeight="1" x14ac:dyDescent="0.25">
      <c r="A24" s="19" t="s">
        <v>1111</v>
      </c>
      <c r="B24" s="19" t="s">
        <v>1112</v>
      </c>
      <c r="C24" s="20" t="s">
        <v>1116</v>
      </c>
      <c r="D24" s="21" t="s">
        <v>1117</v>
      </c>
      <c r="E24" s="23">
        <v>3</v>
      </c>
      <c r="F24" s="18" t="s">
        <v>12</v>
      </c>
      <c r="G24" s="21" t="s">
        <v>1118</v>
      </c>
      <c r="H24" s="21" t="s">
        <v>1119</v>
      </c>
    </row>
    <row r="25" spans="1:8" ht="30" customHeight="1" x14ac:dyDescent="0.25">
      <c r="A25" s="14" t="s">
        <v>1111</v>
      </c>
      <c r="B25" s="14" t="s">
        <v>1112</v>
      </c>
      <c r="C25" s="15" t="s">
        <v>1120</v>
      </c>
      <c r="D25" s="16" t="s">
        <v>1121</v>
      </c>
      <c r="E25" s="23">
        <v>3</v>
      </c>
      <c r="F25" s="18" t="s">
        <v>12</v>
      </c>
      <c r="G25" s="16" t="s">
        <v>1122</v>
      </c>
      <c r="H25" s="16" t="s">
        <v>1123</v>
      </c>
    </row>
    <row r="26" spans="1:8" ht="30" customHeight="1" x14ac:dyDescent="0.25">
      <c r="A26" s="19" t="s">
        <v>1111</v>
      </c>
      <c r="B26" s="19" t="s">
        <v>1112</v>
      </c>
      <c r="C26" s="20" t="s">
        <v>1124</v>
      </c>
      <c r="D26" s="21" t="s">
        <v>1125</v>
      </c>
      <c r="E26" s="23">
        <v>3</v>
      </c>
      <c r="F26" s="18" t="s">
        <v>12</v>
      </c>
      <c r="G26" s="21" t="s">
        <v>1126</v>
      </c>
      <c r="H26" s="21" t="s">
        <v>916</v>
      </c>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F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23"/>
  <sheetViews>
    <sheetView topLeftCell="E1" zoomScale="75" zoomScaleNormal="75" workbookViewId="0">
      <pane ySplit="1" topLeftCell="A2" activePane="bottomLeft" state="frozen"/>
      <selection pane="bottomLeft" activeCell="H12" sqref="H12"/>
    </sheetView>
  </sheetViews>
  <sheetFormatPr defaultColWidth="8.42578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2" t="s">
        <v>0</v>
      </c>
      <c r="B1" s="12" t="s">
        <v>1</v>
      </c>
      <c r="C1" s="12" t="s">
        <v>2</v>
      </c>
      <c r="D1" s="12" t="s">
        <v>3</v>
      </c>
      <c r="E1" s="12" t="s">
        <v>4</v>
      </c>
      <c r="F1" s="12" t="s">
        <v>5</v>
      </c>
      <c r="G1" s="12" t="s">
        <v>6</v>
      </c>
      <c r="H1" s="12" t="s">
        <v>7</v>
      </c>
    </row>
    <row r="2" spans="1:8" ht="18" customHeight="1" x14ac:dyDescent="0.25">
      <c r="A2" s="13" t="s">
        <v>1127</v>
      </c>
      <c r="B2" s="13" t="s">
        <v>1128</v>
      </c>
      <c r="C2" s="13"/>
      <c r="D2" s="13"/>
      <c r="E2" s="13"/>
      <c r="F2" s="13"/>
      <c r="G2" s="13"/>
      <c r="H2" s="13"/>
    </row>
    <row r="3" spans="1:8" ht="30" customHeight="1" x14ac:dyDescent="0.25">
      <c r="A3" s="14" t="s">
        <v>1127</v>
      </c>
      <c r="B3" s="14" t="s">
        <v>1128</v>
      </c>
      <c r="C3" s="15" t="s">
        <v>1129</v>
      </c>
      <c r="D3" s="16" t="s">
        <v>1130</v>
      </c>
      <c r="E3" s="17">
        <v>2</v>
      </c>
      <c r="F3" s="18" t="s">
        <v>12</v>
      </c>
      <c r="G3" s="16" t="s">
        <v>1131</v>
      </c>
      <c r="H3" s="16" t="s">
        <v>1132</v>
      </c>
    </row>
    <row r="4" spans="1:8" ht="18" customHeight="1" x14ac:dyDescent="0.25">
      <c r="A4" s="13" t="s">
        <v>1133</v>
      </c>
      <c r="B4" s="13" t="s">
        <v>1134</v>
      </c>
      <c r="C4" s="13"/>
      <c r="D4" s="13"/>
      <c r="E4" s="13"/>
      <c r="F4" s="13"/>
      <c r="G4" s="13"/>
      <c r="H4" s="13"/>
    </row>
    <row r="5" spans="1:8" ht="30" customHeight="1" x14ac:dyDescent="0.25">
      <c r="A5" s="14" t="s">
        <v>1133</v>
      </c>
      <c r="B5" s="14" t="s">
        <v>1134</v>
      </c>
      <c r="C5" s="15" t="s">
        <v>1135</v>
      </c>
      <c r="D5" s="16" t="s">
        <v>1136</v>
      </c>
      <c r="E5" s="17">
        <v>2</v>
      </c>
      <c r="F5" s="18" t="s">
        <v>12</v>
      </c>
      <c r="G5" s="16" t="s">
        <v>1137</v>
      </c>
      <c r="H5" s="16" t="s">
        <v>1138</v>
      </c>
    </row>
    <row r="6" spans="1:8" ht="30" customHeight="1" x14ac:dyDescent="0.25">
      <c r="A6" s="19" t="s">
        <v>1133</v>
      </c>
      <c r="B6" s="19" t="s">
        <v>1134</v>
      </c>
      <c r="C6" s="20" t="s">
        <v>1139</v>
      </c>
      <c r="D6" s="21" t="s">
        <v>1140</v>
      </c>
      <c r="E6" s="17">
        <v>2</v>
      </c>
      <c r="F6" s="18" t="s">
        <v>12</v>
      </c>
      <c r="G6" s="21" t="s">
        <v>1141</v>
      </c>
      <c r="H6" s="21" t="s">
        <v>1142</v>
      </c>
    </row>
    <row r="7" spans="1:8" ht="30" customHeight="1" x14ac:dyDescent="0.25">
      <c r="A7" s="14" t="s">
        <v>1133</v>
      </c>
      <c r="B7" s="14" t="s">
        <v>1134</v>
      </c>
      <c r="C7" s="15" t="s">
        <v>1143</v>
      </c>
      <c r="D7" s="16" t="s">
        <v>1144</v>
      </c>
      <c r="E7" s="17">
        <v>2</v>
      </c>
      <c r="F7" s="18" t="s">
        <v>12</v>
      </c>
      <c r="G7" s="16" t="s">
        <v>1145</v>
      </c>
      <c r="H7" s="16" t="s">
        <v>1146</v>
      </c>
    </row>
    <row r="8" spans="1:8" ht="30" customHeight="1" x14ac:dyDescent="0.25">
      <c r="A8" s="19" t="s">
        <v>1133</v>
      </c>
      <c r="B8" s="19" t="s">
        <v>1134</v>
      </c>
      <c r="C8" s="20" t="s">
        <v>1147</v>
      </c>
      <c r="D8" s="21" t="s">
        <v>1148</v>
      </c>
      <c r="E8" s="17">
        <v>2</v>
      </c>
      <c r="F8" s="18" t="s">
        <v>12</v>
      </c>
      <c r="G8" s="21" t="s">
        <v>1149</v>
      </c>
      <c r="H8" s="21" t="s">
        <v>1132</v>
      </c>
    </row>
    <row r="9" spans="1:8" ht="30" customHeight="1" x14ac:dyDescent="0.25">
      <c r="A9" s="14" t="s">
        <v>1133</v>
      </c>
      <c r="B9" s="14" t="s">
        <v>1134</v>
      </c>
      <c r="C9" s="15" t="s">
        <v>1150</v>
      </c>
      <c r="D9" s="16" t="s">
        <v>1151</v>
      </c>
      <c r="E9" s="17">
        <v>2</v>
      </c>
      <c r="F9" s="18" t="s">
        <v>418</v>
      </c>
      <c r="G9" s="16" t="s">
        <v>1152</v>
      </c>
      <c r="H9" s="16" t="s">
        <v>1153</v>
      </c>
    </row>
    <row r="10" spans="1:8" ht="18" customHeight="1" x14ac:dyDescent="0.25">
      <c r="A10" s="13" t="s">
        <v>1154</v>
      </c>
      <c r="B10" s="13" t="s">
        <v>1155</v>
      </c>
      <c r="C10" s="13"/>
      <c r="D10" s="13"/>
      <c r="E10" s="13"/>
      <c r="F10" s="13"/>
      <c r="G10" s="13"/>
      <c r="H10" s="13"/>
    </row>
    <row r="11" spans="1:8" ht="30" customHeight="1" x14ac:dyDescent="0.25">
      <c r="A11" s="14" t="s">
        <v>1154</v>
      </c>
      <c r="B11" s="14" t="s">
        <v>1155</v>
      </c>
      <c r="C11" s="15" t="s">
        <v>1156</v>
      </c>
      <c r="D11" s="16" t="s">
        <v>1157</v>
      </c>
      <c r="E11" s="17">
        <v>2</v>
      </c>
      <c r="F11" s="18" t="s">
        <v>418</v>
      </c>
      <c r="G11" s="16" t="s">
        <v>1158</v>
      </c>
      <c r="H11" s="16" t="s">
        <v>1159</v>
      </c>
    </row>
    <row r="12" spans="1:8" ht="30" customHeight="1" x14ac:dyDescent="0.25">
      <c r="A12" s="19" t="s">
        <v>1154</v>
      </c>
      <c r="B12" s="19" t="s">
        <v>1155</v>
      </c>
      <c r="C12" s="20" t="s">
        <v>1160</v>
      </c>
      <c r="D12" s="21" t="s">
        <v>1161</v>
      </c>
      <c r="E12" s="17">
        <v>2</v>
      </c>
      <c r="F12" s="18" t="s">
        <v>418</v>
      </c>
      <c r="G12" s="21" t="s">
        <v>1162</v>
      </c>
      <c r="H12" s="21" t="s">
        <v>1163</v>
      </c>
    </row>
    <row r="13" spans="1:8" ht="30" customHeight="1" x14ac:dyDescent="0.25">
      <c r="A13" s="14" t="s">
        <v>1154</v>
      </c>
      <c r="B13" s="14" t="s">
        <v>1155</v>
      </c>
      <c r="C13" s="15" t="s">
        <v>1164</v>
      </c>
      <c r="D13" s="16" t="s">
        <v>1165</v>
      </c>
      <c r="E13" s="17">
        <v>2</v>
      </c>
      <c r="F13" s="18" t="s">
        <v>12</v>
      </c>
      <c r="G13" s="16" t="s">
        <v>1166</v>
      </c>
      <c r="H13" s="16" t="s">
        <v>1167</v>
      </c>
    </row>
    <row r="14" spans="1:8" ht="30" customHeight="1" x14ac:dyDescent="0.25">
      <c r="A14" s="19" t="s">
        <v>1154</v>
      </c>
      <c r="B14" s="19" t="s">
        <v>1155</v>
      </c>
      <c r="C14" s="20" t="s">
        <v>1168</v>
      </c>
      <c r="D14" s="21" t="s">
        <v>1169</v>
      </c>
      <c r="E14" s="17">
        <v>2</v>
      </c>
      <c r="F14" s="18" t="s">
        <v>12</v>
      </c>
      <c r="G14" s="21" t="s">
        <v>1170</v>
      </c>
      <c r="H14" s="21" t="s">
        <v>1171</v>
      </c>
    </row>
    <row r="15" spans="1:8" ht="18" customHeight="1" x14ac:dyDescent="0.25">
      <c r="A15" s="13" t="s">
        <v>1172</v>
      </c>
      <c r="B15" s="13" t="s">
        <v>1173</v>
      </c>
      <c r="C15" s="13"/>
      <c r="D15" s="13"/>
      <c r="E15" s="13"/>
      <c r="F15" s="13"/>
      <c r="G15" s="13"/>
      <c r="H15" s="13"/>
    </row>
    <row r="16" spans="1:8" ht="30" customHeight="1" x14ac:dyDescent="0.25">
      <c r="A16" s="14" t="s">
        <v>1172</v>
      </c>
      <c r="B16" s="14" t="s">
        <v>1173</v>
      </c>
      <c r="C16" s="15" t="s">
        <v>1174</v>
      </c>
      <c r="D16" s="16" t="s">
        <v>1175</v>
      </c>
      <c r="E16" s="17">
        <v>2</v>
      </c>
      <c r="F16" s="18" t="s">
        <v>418</v>
      </c>
      <c r="G16" s="16" t="s">
        <v>1176</v>
      </c>
      <c r="H16" s="16" t="s">
        <v>1177</v>
      </c>
    </row>
    <row r="17" spans="1:8" ht="30" customHeight="1" x14ac:dyDescent="0.25">
      <c r="A17" s="19" t="s">
        <v>1172</v>
      </c>
      <c r="B17" s="19" t="s">
        <v>1173</v>
      </c>
      <c r="C17" s="20" t="s">
        <v>1178</v>
      </c>
      <c r="D17" s="21" t="s">
        <v>1179</v>
      </c>
      <c r="E17" s="17">
        <v>2</v>
      </c>
      <c r="F17" s="18" t="s">
        <v>12</v>
      </c>
      <c r="G17" s="21" t="s">
        <v>1180</v>
      </c>
      <c r="H17" s="21" t="s">
        <v>1181</v>
      </c>
    </row>
    <row r="18" spans="1:8" ht="30" customHeight="1" x14ac:dyDescent="0.25">
      <c r="A18" s="14" t="s">
        <v>1172</v>
      </c>
      <c r="B18" s="14" t="s">
        <v>1173</v>
      </c>
      <c r="C18" s="15" t="s">
        <v>1182</v>
      </c>
      <c r="D18" s="16" t="s">
        <v>1183</v>
      </c>
      <c r="E18" s="17">
        <v>2</v>
      </c>
      <c r="F18" s="18" t="s">
        <v>12</v>
      </c>
      <c r="G18" s="16" t="s">
        <v>1184</v>
      </c>
      <c r="H18" s="16" t="s">
        <v>1185</v>
      </c>
    </row>
    <row r="19" spans="1:8" ht="18" customHeight="1" x14ac:dyDescent="0.25">
      <c r="A19" s="13" t="s">
        <v>1186</v>
      </c>
      <c r="B19" s="13" t="s">
        <v>1187</v>
      </c>
      <c r="C19" s="13"/>
      <c r="D19" s="13"/>
      <c r="E19" s="13"/>
      <c r="F19" s="13"/>
      <c r="G19" s="13"/>
      <c r="H19" s="13"/>
    </row>
    <row r="20" spans="1:8" ht="30" customHeight="1" x14ac:dyDescent="0.25">
      <c r="A20" s="14" t="s">
        <v>1186</v>
      </c>
      <c r="B20" s="14" t="s">
        <v>1187</v>
      </c>
      <c r="C20" s="15" t="s">
        <v>1188</v>
      </c>
      <c r="D20" s="16" t="s">
        <v>1189</v>
      </c>
      <c r="E20" s="17">
        <v>2</v>
      </c>
      <c r="F20" s="18" t="s">
        <v>418</v>
      </c>
      <c r="G20" s="16" t="s">
        <v>1190</v>
      </c>
      <c r="H20" s="16" t="s">
        <v>1191</v>
      </c>
    </row>
    <row r="21" spans="1:8" ht="30" customHeight="1" x14ac:dyDescent="0.25">
      <c r="A21" s="19" t="s">
        <v>1186</v>
      </c>
      <c r="B21" s="19" t="s">
        <v>1187</v>
      </c>
      <c r="C21" s="20" t="s">
        <v>1192</v>
      </c>
      <c r="D21" s="21" t="s">
        <v>1193</v>
      </c>
      <c r="E21" s="17">
        <v>2</v>
      </c>
      <c r="F21" s="18" t="s">
        <v>12</v>
      </c>
      <c r="G21" s="21" t="s">
        <v>1194</v>
      </c>
      <c r="H21" s="21" t="s">
        <v>1195</v>
      </c>
    </row>
    <row r="22" spans="1:8" ht="30" customHeight="1" x14ac:dyDescent="0.25">
      <c r="A22" s="14" t="s">
        <v>1186</v>
      </c>
      <c r="B22" s="14" t="s">
        <v>1187</v>
      </c>
      <c r="C22" s="15" t="s">
        <v>1196</v>
      </c>
      <c r="D22" s="16" t="s">
        <v>1197</v>
      </c>
      <c r="E22" s="17">
        <v>2</v>
      </c>
      <c r="F22" s="18" t="s">
        <v>418</v>
      </c>
      <c r="G22" s="16" t="s">
        <v>1198</v>
      </c>
      <c r="H22" s="16" t="s">
        <v>1199</v>
      </c>
    </row>
    <row r="23" spans="1:8" ht="30" customHeight="1" x14ac:dyDescent="0.25">
      <c r="A23" s="19" t="s">
        <v>1186</v>
      </c>
      <c r="B23" s="19" t="s">
        <v>1187</v>
      </c>
      <c r="C23" s="20" t="s">
        <v>1200</v>
      </c>
      <c r="D23" s="21" t="s">
        <v>1201</v>
      </c>
      <c r="E23" s="23">
        <v>3</v>
      </c>
      <c r="F23" s="18" t="s">
        <v>418</v>
      </c>
      <c r="G23" s="21" t="s">
        <v>1202</v>
      </c>
      <c r="H23" s="21" t="s">
        <v>1199</v>
      </c>
    </row>
  </sheetData>
  <conditionalFormatting sqref="F2:F23">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3" xr:uid="{00000000-0002-0000-10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6"/>
  <sheetViews>
    <sheetView zoomScale="94" zoomScaleNormal="75" workbookViewId="0">
      <pane ySplit="1" topLeftCell="A2" activePane="bottomLeft" state="frozen"/>
      <selection pane="bottomLeft"/>
    </sheetView>
  </sheetViews>
  <sheetFormatPr defaultColWidth="8.42578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2" t="s">
        <v>0</v>
      </c>
      <c r="B1" s="12" t="s">
        <v>1</v>
      </c>
      <c r="C1" s="12" t="s">
        <v>2</v>
      </c>
      <c r="D1" s="12" t="s">
        <v>3</v>
      </c>
      <c r="E1" s="12" t="s">
        <v>4</v>
      </c>
      <c r="F1" s="12" t="s">
        <v>5</v>
      </c>
      <c r="G1" s="12" t="s">
        <v>6</v>
      </c>
      <c r="H1" s="12" t="s">
        <v>7</v>
      </c>
    </row>
    <row r="2" spans="1:8" ht="18" customHeight="1" x14ac:dyDescent="0.25">
      <c r="A2" s="13" t="s">
        <v>1203</v>
      </c>
      <c r="B2" s="13" t="s">
        <v>1204</v>
      </c>
      <c r="C2" s="13"/>
      <c r="D2" s="13"/>
      <c r="E2" s="13"/>
      <c r="F2" s="13"/>
      <c r="G2" s="13"/>
      <c r="H2" s="13"/>
    </row>
    <row r="3" spans="1:8" ht="30" customHeight="1" x14ac:dyDescent="0.25">
      <c r="A3" s="14" t="s">
        <v>1203</v>
      </c>
      <c r="B3" s="14" t="s">
        <v>1204</v>
      </c>
      <c r="C3" s="15" t="s">
        <v>1205</v>
      </c>
      <c r="D3" s="16" t="s">
        <v>1206</v>
      </c>
      <c r="E3" s="17">
        <v>2</v>
      </c>
      <c r="F3" s="18" t="s">
        <v>20</v>
      </c>
      <c r="G3" s="16" t="s">
        <v>1207</v>
      </c>
      <c r="H3" s="16"/>
    </row>
    <row r="4" spans="1:8" ht="30" customHeight="1" x14ac:dyDescent="0.25">
      <c r="A4" s="19" t="s">
        <v>1203</v>
      </c>
      <c r="B4" s="19" t="s">
        <v>1204</v>
      </c>
      <c r="C4" s="20" t="s">
        <v>1208</v>
      </c>
      <c r="D4" s="21" t="s">
        <v>1209</v>
      </c>
      <c r="E4" s="23">
        <v>3</v>
      </c>
      <c r="F4" s="18" t="s">
        <v>20</v>
      </c>
      <c r="G4" s="21" t="s">
        <v>1210</v>
      </c>
      <c r="H4" s="21"/>
    </row>
    <row r="5" spans="1:8" ht="18" customHeight="1" x14ac:dyDescent="0.25">
      <c r="A5" s="13" t="s">
        <v>1211</v>
      </c>
      <c r="B5" s="13" t="s">
        <v>1212</v>
      </c>
      <c r="C5" s="13"/>
      <c r="D5" s="13"/>
      <c r="E5" s="13"/>
      <c r="F5" s="13"/>
      <c r="G5" s="13"/>
      <c r="H5" s="13"/>
    </row>
    <row r="6" spans="1:8" ht="30" customHeight="1" x14ac:dyDescent="0.25">
      <c r="A6" s="14" t="s">
        <v>1211</v>
      </c>
      <c r="B6" s="14" t="s">
        <v>1212</v>
      </c>
      <c r="C6" s="15" t="s">
        <v>1213</v>
      </c>
      <c r="D6" s="16" t="s">
        <v>1214</v>
      </c>
      <c r="E6" s="17">
        <v>2</v>
      </c>
      <c r="F6" s="18" t="s">
        <v>20</v>
      </c>
      <c r="G6" s="16" t="s">
        <v>1215</v>
      </c>
      <c r="H6" s="16"/>
    </row>
    <row r="7" spans="1:8" ht="30" customHeight="1" x14ac:dyDescent="0.25">
      <c r="A7" s="19" t="s">
        <v>1211</v>
      </c>
      <c r="B7" s="19" t="s">
        <v>1212</v>
      </c>
      <c r="C7" s="20" t="s">
        <v>1216</v>
      </c>
      <c r="D7" s="21" t="s">
        <v>1217</v>
      </c>
      <c r="E7" s="17">
        <v>2</v>
      </c>
      <c r="F7" s="18" t="s">
        <v>20</v>
      </c>
      <c r="G7" s="21" t="s">
        <v>1218</v>
      </c>
      <c r="H7" s="21"/>
    </row>
    <row r="8" spans="1:8" ht="30" customHeight="1" x14ac:dyDescent="0.25">
      <c r="A8" s="14" t="s">
        <v>1211</v>
      </c>
      <c r="B8" s="14" t="s">
        <v>1212</v>
      </c>
      <c r="C8" s="15" t="s">
        <v>1219</v>
      </c>
      <c r="D8" s="16" t="s">
        <v>1220</v>
      </c>
      <c r="E8" s="17">
        <v>2</v>
      </c>
      <c r="F8" s="18" t="s">
        <v>20</v>
      </c>
      <c r="G8" s="16" t="s">
        <v>1221</v>
      </c>
      <c r="H8" s="16"/>
    </row>
    <row r="9" spans="1:8" ht="30" customHeight="1" x14ac:dyDescent="0.25">
      <c r="A9" s="19" t="s">
        <v>1211</v>
      </c>
      <c r="B9" s="19" t="s">
        <v>1212</v>
      </c>
      <c r="C9" s="20" t="s">
        <v>1222</v>
      </c>
      <c r="D9" s="21" t="s">
        <v>1223</v>
      </c>
      <c r="E9" s="17">
        <v>2</v>
      </c>
      <c r="F9" s="18" t="s">
        <v>20</v>
      </c>
      <c r="G9" s="21" t="s">
        <v>1218</v>
      </c>
      <c r="H9" s="21"/>
    </row>
    <row r="10" spans="1:8" ht="30" customHeight="1" x14ac:dyDescent="0.25">
      <c r="A10" s="14" t="s">
        <v>1211</v>
      </c>
      <c r="B10" s="14" t="s">
        <v>1212</v>
      </c>
      <c r="C10" s="15" t="s">
        <v>1224</v>
      </c>
      <c r="D10" s="16" t="s">
        <v>1225</v>
      </c>
      <c r="E10" s="23">
        <v>3</v>
      </c>
      <c r="F10" s="18" t="s">
        <v>20</v>
      </c>
      <c r="G10" s="16" t="s">
        <v>1218</v>
      </c>
      <c r="H10" s="16"/>
    </row>
    <row r="11" spans="1:8" ht="30" customHeight="1" x14ac:dyDescent="0.25">
      <c r="A11" s="19" t="s">
        <v>1211</v>
      </c>
      <c r="B11" s="19" t="s">
        <v>1212</v>
      </c>
      <c r="C11" s="20" t="s">
        <v>1226</v>
      </c>
      <c r="D11" s="21" t="s">
        <v>1227</v>
      </c>
      <c r="E11" s="23">
        <v>3</v>
      </c>
      <c r="F11" s="18" t="s">
        <v>20</v>
      </c>
      <c r="G11" s="21" t="s">
        <v>1218</v>
      </c>
      <c r="H11" s="21"/>
    </row>
    <row r="12" spans="1:8" ht="30" customHeight="1" x14ac:dyDescent="0.25">
      <c r="A12" s="14" t="s">
        <v>1211</v>
      </c>
      <c r="B12" s="14" t="s">
        <v>1212</v>
      </c>
      <c r="C12" s="15" t="s">
        <v>1228</v>
      </c>
      <c r="D12" s="16" t="s">
        <v>1229</v>
      </c>
      <c r="E12" s="23">
        <v>3</v>
      </c>
      <c r="F12" s="18" t="s">
        <v>20</v>
      </c>
      <c r="G12" s="16" t="s">
        <v>1230</v>
      </c>
      <c r="H12" s="16"/>
    </row>
    <row r="13" spans="1:8" ht="30" customHeight="1" x14ac:dyDescent="0.25">
      <c r="A13" s="19" t="s">
        <v>1211</v>
      </c>
      <c r="B13" s="19" t="s">
        <v>1212</v>
      </c>
      <c r="C13" s="20" t="s">
        <v>1231</v>
      </c>
      <c r="D13" s="21" t="s">
        <v>1232</v>
      </c>
      <c r="E13" s="23">
        <v>3</v>
      </c>
      <c r="F13" s="18" t="s">
        <v>20</v>
      </c>
      <c r="G13" s="21" t="s">
        <v>1233</v>
      </c>
      <c r="H13" s="21"/>
    </row>
    <row r="14" spans="1:8" ht="18" customHeight="1" x14ac:dyDescent="0.25">
      <c r="A14" s="13" t="s">
        <v>1234</v>
      </c>
      <c r="B14" s="13" t="s">
        <v>1235</v>
      </c>
      <c r="C14" s="13"/>
      <c r="D14" s="13"/>
      <c r="E14" s="13"/>
      <c r="F14" s="13"/>
      <c r="G14" s="13"/>
      <c r="H14" s="13"/>
    </row>
    <row r="15" spans="1:8" ht="30" customHeight="1" x14ac:dyDescent="0.25">
      <c r="A15" s="14" t="s">
        <v>1234</v>
      </c>
      <c r="B15" s="14" t="s">
        <v>1235</v>
      </c>
      <c r="C15" s="15" t="s">
        <v>1236</v>
      </c>
      <c r="D15" s="16" t="s">
        <v>1237</v>
      </c>
      <c r="E15" s="17">
        <v>2</v>
      </c>
      <c r="F15" s="18" t="s">
        <v>20</v>
      </c>
      <c r="G15" s="16" t="s">
        <v>1238</v>
      </c>
      <c r="H15" s="16"/>
    </row>
    <row r="16" spans="1:8" ht="30" customHeight="1" x14ac:dyDescent="0.25">
      <c r="A16" s="19" t="s">
        <v>1234</v>
      </c>
      <c r="B16" s="19" t="s">
        <v>1235</v>
      </c>
      <c r="C16" s="20" t="s">
        <v>1239</v>
      </c>
      <c r="D16" s="21" t="s">
        <v>1240</v>
      </c>
      <c r="E16" s="17">
        <v>2</v>
      </c>
      <c r="F16" s="18" t="s">
        <v>20</v>
      </c>
      <c r="G16" s="21" t="s">
        <v>1238</v>
      </c>
      <c r="H16" s="21"/>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11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18</vt:i4>
      </vt:variant>
    </vt:vector>
  </HeadingPairs>
  <TitlesOfParts>
    <vt:vector size="18" baseType="lpstr">
      <vt:lpstr>Summary</vt:lpstr>
      <vt:lpstr>V1 - Encoding and Sanitization</vt:lpstr>
      <vt:lpstr>V2 - Validation and Business Lo</vt:lpstr>
      <vt:lpstr>V3 - Web Frontend Security</vt:lpstr>
      <vt:lpstr>V4 - API and Web Service</vt:lpstr>
      <vt:lpstr>V5 - File Handling</vt:lpstr>
      <vt:lpstr>V6 - Authentication</vt:lpstr>
      <vt:lpstr>V7 - Session Management</vt:lpstr>
      <vt:lpstr>V8 - Authorization</vt:lpstr>
      <vt:lpstr>V9 - Self-contained Tokens</vt:lpstr>
      <vt:lpstr>V10 - OAuth and OIDC</vt:lpstr>
      <vt:lpstr>V11 - Cryptography</vt:lpstr>
      <vt:lpstr>V12 - Secure Communication</vt:lpstr>
      <vt:lpstr>V13 - Configuration</vt:lpstr>
      <vt:lpstr>V14 - Data Protection</vt:lpstr>
      <vt:lpstr>V15 - Secure Coding and Archite</vt:lpstr>
      <vt:lpstr>V16 - Security Logging and Erro</vt:lpstr>
      <vt:lpstr>V17 - WebRTC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Lourenço Mendes (1201270)</cp:lastModifiedBy>
  <cp:revision>3</cp:revision>
  <dcterms:created xsi:type="dcterms:W3CDTF">2026-03-04T10:14:28Z</dcterms:created>
  <dcterms:modified xsi:type="dcterms:W3CDTF">2026-06-16T17:10:53Z</dcterms:modified>
  <dc:language>pt-PT</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ies>
</file>