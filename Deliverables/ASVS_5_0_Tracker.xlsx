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3" autoFilterDateGrouping="1"/>
  </bookViews>
  <sheets>
    <sheet xmlns:r="http://schemas.openxmlformats.org/officeDocument/2006/relationships" name="Summary" sheetId="1" state="visible" r:id="rId1"/>
    <sheet xmlns:r="http://schemas.openxmlformats.org/officeDocument/2006/relationships" name="V1 - Encoding and Sanitization" sheetId="2" state="visible" r:id="rId2"/>
    <sheet xmlns:r="http://schemas.openxmlformats.org/officeDocument/2006/relationships" name="V2 - Validation and Business Lo" sheetId="3" state="visible" r:id="rId3"/>
    <sheet xmlns:r="http://schemas.openxmlformats.org/officeDocument/2006/relationships" name="V3 - Web Frontend Security" sheetId="4" state="visible" r:id="rId4"/>
    <sheet xmlns:r="http://schemas.openxmlformats.org/officeDocument/2006/relationships" name="V4 - API and Web Service" sheetId="5" state="visible" r:id="rId5"/>
    <sheet xmlns:r="http://schemas.openxmlformats.org/officeDocument/2006/relationships" name="V5 - File Handling" sheetId="6" state="visible" r:id="rId6"/>
    <sheet xmlns:r="http://schemas.openxmlformats.org/officeDocument/2006/relationships" name="V6 - Authentication" sheetId="7" state="visible" r:id="rId7"/>
    <sheet xmlns:r="http://schemas.openxmlformats.org/officeDocument/2006/relationships" name="V7 - Session Management" sheetId="8" state="visible" r:id="rId8"/>
    <sheet xmlns:r="http://schemas.openxmlformats.org/officeDocument/2006/relationships" name="V8 - Authorization" sheetId="9" state="visible" r:id="rId9"/>
    <sheet xmlns:r="http://schemas.openxmlformats.org/officeDocument/2006/relationships" name="V9 - Self-contained Tokens" sheetId="10" state="visible" r:id="rId10"/>
    <sheet xmlns:r="http://schemas.openxmlformats.org/officeDocument/2006/relationships" name="V10 - OAuth and OIDC" sheetId="11" state="visible" r:id="rId11"/>
    <sheet xmlns:r="http://schemas.openxmlformats.org/officeDocument/2006/relationships" name="V11 - Cryptography" sheetId="12" state="visible" r:id="rId12"/>
    <sheet xmlns:r="http://schemas.openxmlformats.org/officeDocument/2006/relationships" name="V12 - Secure Communication" sheetId="13" state="visible" r:id="rId13"/>
    <sheet xmlns:r="http://schemas.openxmlformats.org/officeDocument/2006/relationships" name="V13 - Configuration" sheetId="14" state="visible" r:id="rId14"/>
    <sheet xmlns:r="http://schemas.openxmlformats.org/officeDocument/2006/relationships" name="V14 - Data Protection" sheetId="15" state="visible" r:id="rId15"/>
    <sheet xmlns:r="http://schemas.openxmlformats.org/officeDocument/2006/relationships" name="V15 - Secure Coding and Archite" sheetId="16" state="visible" r:id="rId16"/>
    <sheet xmlns:r="http://schemas.openxmlformats.org/officeDocument/2006/relationships" name="V16 - Security Logging and Erro" sheetId="17" state="visible" r:id="rId17"/>
    <sheet xmlns:r="http://schemas.openxmlformats.org/officeDocument/2006/relationships" name="V17 - WebRTC" sheetId="18" state="visible" r:id="rId18"/>
  </sheets>
  <definedNames/>
  <calcPr calcId="191029" fullCalcOnLoad="1" iterateDelta="0.0001"/>
</workbook>
</file>

<file path=xl/styles.xml><?xml version="1.0" encoding="utf-8"?>
<styleSheet xmlns="http://schemas.openxmlformats.org/spreadsheetml/2006/main">
  <numFmts count="0"/>
  <fonts count="13">
    <font>
      <name val="Calibri"/>
      <charset val="1"/>
      <family val="2"/>
      <color rgb="FF000000"/>
      <sz val="11"/>
    </font>
    <font>
      <name val="Cambria"/>
      <charset val="1"/>
      <b val="1"/>
      <color rgb="FFFFFFFF"/>
      <sz val="16"/>
    </font>
    <font>
      <name val="Cambria"/>
      <charset val="1"/>
      <i val="1"/>
      <color rgb="FF595959"/>
      <sz val="10"/>
    </font>
    <font>
      <name val="Cambria"/>
      <charset val="1"/>
      <b val="1"/>
      <sz val="10"/>
    </font>
    <font>
      <name val="Cambria"/>
      <charset val="1"/>
      <b val="1"/>
      <sz val="9"/>
    </font>
    <font>
      <name val="Cambria"/>
      <charset val="1"/>
      <b val="1"/>
      <color rgb="FFFFFFFF"/>
      <sz val="9"/>
    </font>
    <font>
      <name val="Cambria"/>
      <charset val="1"/>
      <sz val="10"/>
    </font>
    <font>
      <name val="Cambria"/>
      <charset val="1"/>
      <b val="1"/>
      <color rgb="FFFFFFFF"/>
      <sz val="11"/>
    </font>
    <font>
      <name val="Cambria"/>
      <charset val="1"/>
      <b val="1"/>
      <color rgb="FFFFFFFF"/>
      <sz val="10"/>
    </font>
    <font>
      <name val="Cambria"/>
      <charset val="1"/>
      <b val="1"/>
      <color rgb="FF1F3864"/>
      <sz val="10"/>
    </font>
    <font>
      <name val="Segoe UI"/>
      <family val="2"/>
      <color rgb="FFCCCCCC"/>
      <sz val="10"/>
    </font>
    <font>
      <name val="Segoe UI"/>
      <family val="2"/>
      <color rgb="FF000000"/>
      <sz val="10"/>
    </font>
    <font>
      <name val="Calibri"/>
      <charset val="1"/>
      <family val="2"/>
      <color rgb="FF000000"/>
      <sz val="11"/>
      <u val="single"/>
    </font>
  </fonts>
  <fills count="10">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1">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1" fillId="2" borderId="0" applyAlignment="1" pivotButton="0" quotePrefix="0" xfId="0">
      <alignment horizontal="center" vertical="center"/>
    </xf>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1" fillId="0" borderId="0" pivotButton="0" quotePrefix="0" xfId="0"/>
    <xf numFmtId="0" fontId="10" fillId="0" borderId="0" pivotButton="0" quotePrefix="0" xfId="0"/>
    <xf numFmtId="0" fontId="12" fillId="7" borderId="1" applyAlignment="1" pivotButton="0" quotePrefix="0" xfId="0">
      <alignment horizontal="center" vertical="top"/>
    </xf>
    <xf numFmtId="0" fontId="1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v>
                </pt>
                <pt idx="11">
                  <v>0</v>
                </pt>
                <pt idx="12">
                  <v>0</v>
                </pt>
                <pt idx="13">
                  <v>0</v>
                </pt>
                <pt idx="14">
                  <v>0</v>
                </pt>
                <pt idx="15">
                  <v>0</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crossAx val="28005530"/>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en-US"/>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zoomScale="75" zoomScaleNormal="75" workbookViewId="0">
      <selection activeCell="S40" sqref="S40"/>
    </sheetView>
  </sheetViews>
  <sheetFormatPr baseColWidth="8" defaultColWidth="8.5703125" defaultRowHeight="15"/>
  <cols>
    <col width="34" customWidth="1" min="1" max="1"/>
    <col width="11" customWidth="1" min="2" max="13"/>
  </cols>
  <sheetData>
    <row r="1" ht="36" customHeight="1">
      <c r="A1" s="3" t="inlineStr">
        <is>
          <t>OWASP ASVS 5.0 – Compliance Tracker</t>
        </is>
      </c>
    </row>
    <row r="2" ht="20.1" customHeight="1">
      <c r="A2" s="2" t="n"/>
    </row>
    <row r="3" ht="18" customHeight="1">
      <c r="A3" s="1" t="n"/>
      <c r="C3" s="4" t="n"/>
      <c r="E3" s="4" t="n"/>
      <c r="G3" s="4" t="n"/>
      <c r="I3" s="4" t="n"/>
      <c r="K3" s="4" t="n"/>
      <c r="M3" s="4" t="n"/>
      <c r="O3" s="4" t="n"/>
    </row>
    <row r="5" ht="32.1" customHeight="1">
      <c r="A5" s="5" t="inlineStr">
        <is>
          <t>Chapter</t>
        </is>
      </c>
      <c r="B5" s="5" t="inlineStr">
        <is>
          <t>Total
Reqs</t>
        </is>
      </c>
      <c r="C5" s="5" t="inlineStr">
        <is>
          <t>L1
Total</t>
        </is>
      </c>
      <c r="D5" s="5" t="inlineStr">
        <is>
          <t>L1
Compliant</t>
        </is>
      </c>
      <c r="E5" s="5" t="inlineStr">
        <is>
          <t>L1
%</t>
        </is>
      </c>
      <c r="F5" s="5" t="inlineStr">
        <is>
          <t>L2
Total</t>
        </is>
      </c>
      <c r="G5" s="5" t="inlineStr">
        <is>
          <t>L2
Compliant</t>
        </is>
      </c>
      <c r="H5" s="5" t="inlineStr">
        <is>
          <t>L2
%</t>
        </is>
      </c>
      <c r="I5" s="5" t="inlineStr">
        <is>
          <t>L3
Total</t>
        </is>
      </c>
      <c r="J5" s="5" t="inlineStr">
        <is>
          <t>L3
Compliant</t>
        </is>
      </c>
      <c r="K5" s="5" t="inlineStr">
        <is>
          <t>L3
%</t>
        </is>
      </c>
      <c r="L5" s="5" t="inlineStr">
        <is>
          <t>Overall
Compliant</t>
        </is>
      </c>
      <c r="M5" s="5" t="inlineStr">
        <is>
          <t>Overall
%</t>
        </is>
      </c>
    </row>
    <row r="6" ht="18" customHeight="1">
      <c r="A6" s="6" t="inlineStr">
        <is>
          <t>V1 – Encoding and Sanitization</t>
        </is>
      </c>
      <c r="B6" s="7" t="n">
        <v>30</v>
      </c>
      <c r="C6" s="7" t="n">
        <v>8</v>
      </c>
      <c r="D6" s="7">
        <f>COUNTIFS('V1 - Encoding and Sanitization'!$F$2:$F$36,"Compliant",'V1 - Encoding and Sanitization'!$E$2:$E$36,1)</f>
        <v/>
      </c>
      <c r="E6" s="8">
        <f>IF(C6=0,"",D6/C6)</f>
        <v/>
      </c>
      <c r="F6" s="7" t="n">
        <v>19</v>
      </c>
      <c r="G6" s="7">
        <f>COUNTIFS('V1 - Encoding and Sanitization'!$F$2:$F$36,"Compliant",'V1 - Encoding and Sanitization'!$E$2:$E$36,2)</f>
        <v/>
      </c>
      <c r="H6" s="8">
        <f>IF(F6=0,"",G6/F6)</f>
        <v/>
      </c>
      <c r="I6" s="7" t="n">
        <v>3</v>
      </c>
      <c r="J6" s="7">
        <f>COUNTIFS('V1 - Encoding and Sanitization'!$F$2:$F$36,"Compliant",'V1 - Encoding and Sanitization'!$E$2:$E$36,3)</f>
        <v/>
      </c>
      <c r="K6" s="8">
        <f>IF(I6=0,"",J6/I6)</f>
        <v/>
      </c>
      <c r="L6" s="7">
        <f>COUNTIF('V1 - Encoding and Sanitization'!$F$2:$F$36,"Compliant")</f>
        <v/>
      </c>
      <c r="M6" s="8">
        <f>IF(B6=0,"",L6/B6)</f>
        <v/>
      </c>
    </row>
    <row r="7" ht="18" customHeight="1">
      <c r="A7" s="9" t="inlineStr">
        <is>
          <t>V2 – Validation and Business Logic</t>
        </is>
      </c>
      <c r="B7" s="10" t="n">
        <v>13</v>
      </c>
      <c r="C7" s="10" t="n">
        <v>4</v>
      </c>
      <c r="D7" s="10">
        <f>COUNTIFS('V2 - Validation and Business Lo'!$F$2:$F$18,"Compliant",'V2 - Validation and Business Lo'!$E$2:$E$18,1)</f>
        <v/>
      </c>
      <c r="E7" s="11">
        <f>IF(C7=0,"",D7/C7)</f>
        <v/>
      </c>
      <c r="F7" s="10" t="n">
        <v>7</v>
      </c>
      <c r="G7" s="10">
        <f>COUNTIFS('V2 - Validation and Business Lo'!$F$2:$F$18,"Compliant",'V2 - Validation and Business Lo'!$E$2:$E$18,2)</f>
        <v/>
      </c>
      <c r="H7" s="11">
        <f>IF(F7=0,"",G7/F7)</f>
        <v/>
      </c>
      <c r="I7" s="10" t="n">
        <v>2</v>
      </c>
      <c r="J7" s="10">
        <f>COUNTIFS('V2 - Validation and Business Lo'!$F$2:$F$18,"Compliant",'V2 - Validation and Business Lo'!$E$2:$E$18,3)</f>
        <v/>
      </c>
      <c r="K7" s="11">
        <f>IF(I7=0,"",J7/I7)</f>
        <v/>
      </c>
      <c r="L7" s="10">
        <f>COUNTIF('V2 - Validation and Business Lo'!$F$2:$F$18,"Compliant")</f>
        <v/>
      </c>
      <c r="M7" s="11">
        <f>IF(B7=0,"",L7/B7)</f>
        <v/>
      </c>
    </row>
    <row r="8" ht="18" customHeight="1">
      <c r="A8" s="6" t="inlineStr">
        <is>
          <t>V3 – Web Frontend Security</t>
        </is>
      </c>
      <c r="B8" s="7" t="n">
        <v>31</v>
      </c>
      <c r="C8" s="7" t="n">
        <v>8</v>
      </c>
      <c r="D8" s="7">
        <f>COUNTIFS('V3 - Web Frontend Security'!$F$2:$F$39,"Compliant",'V3 - Web Frontend Security'!$E$2:$E$39,1)</f>
        <v/>
      </c>
      <c r="E8" s="8">
        <f>IF(C8=0,"",D8/C8)</f>
        <v/>
      </c>
      <c r="F8" s="7" t="n">
        <v>11</v>
      </c>
      <c r="G8" s="7">
        <f>COUNTIFS('V3 - Web Frontend Security'!$F$2:$F$39,"Compliant",'V3 - Web Frontend Security'!$E$2:$E$39,2)</f>
        <v/>
      </c>
      <c r="H8" s="8">
        <f>IF(F8=0,"",G8/F8)</f>
        <v/>
      </c>
      <c r="I8" s="7" t="n">
        <v>12</v>
      </c>
      <c r="J8" s="7">
        <f>COUNTIFS('V3 - Web Frontend Security'!$F$2:$F$39,"Compliant",'V3 - Web Frontend Security'!$E$2:$E$39,3)</f>
        <v/>
      </c>
      <c r="K8" s="8">
        <f>IF(I8=0,"",J8/I8)</f>
        <v/>
      </c>
      <c r="L8" s="7">
        <f>COUNTIF('V3 - Web Frontend Security'!$F$2:$F$39,"Compliant")</f>
        <v/>
      </c>
      <c r="M8" s="8">
        <f>IF(B8=0,"",L8/B8)</f>
        <v/>
      </c>
    </row>
    <row r="9" ht="18" customHeight="1">
      <c r="A9" s="9" t="inlineStr">
        <is>
          <t>V4 – API and Web Service</t>
        </is>
      </c>
      <c r="B9" s="10" t="n">
        <v>16</v>
      </c>
      <c r="C9" s="10" t="n">
        <v>2</v>
      </c>
      <c r="D9" s="10">
        <f>COUNTIFS('V4 - API and Web Service'!$F$2:$F$21,"Compliant",'V4 - API and Web Service'!$E$2:$E$21,1)</f>
        <v/>
      </c>
      <c r="E9" s="11">
        <f>IF(C9=0,"",D9/C9)</f>
        <v/>
      </c>
      <c r="F9" s="10" t="n">
        <v>8</v>
      </c>
      <c r="G9" s="10">
        <f>COUNTIFS('V4 - API and Web Service'!$F$2:$F$21,"Compliant",'V4 - API and Web Service'!$E$2:$E$21,2)</f>
        <v/>
      </c>
      <c r="H9" s="11">
        <f>IF(F9=0,"",G9/F9)</f>
        <v/>
      </c>
      <c r="I9" s="10" t="n">
        <v>6</v>
      </c>
      <c r="J9" s="10">
        <f>COUNTIFS('V4 - API and Web Service'!$F$2:$F$21,"Compliant",'V4 - API and Web Service'!$E$2:$E$21,3)</f>
        <v/>
      </c>
      <c r="K9" s="11">
        <f>IF(I9=0,"",J9/I9)</f>
        <v/>
      </c>
      <c r="L9" s="10">
        <f>COUNTIF('V4 - API and Web Service'!$F$2:$F$21,"Compliant")</f>
        <v/>
      </c>
      <c r="M9" s="11">
        <f>IF(B9=0,"",L9/B9)</f>
        <v/>
      </c>
    </row>
    <row r="10" ht="18" customHeight="1">
      <c r="A10" s="6" t="inlineStr">
        <is>
          <t>V5 – File Handling</t>
        </is>
      </c>
      <c r="B10" s="7" t="n">
        <v>13</v>
      </c>
      <c r="C10" s="7" t="n">
        <v>4</v>
      </c>
      <c r="D10" s="7">
        <f>COUNTIFS('V5 - File Handling'!$F$2:$F$18,"Compliant",'V5 - File Handling'!$E$2:$E$18,1)</f>
        <v/>
      </c>
      <c r="E10" s="8">
        <f>IF(C10=0,"",D10/C10)</f>
        <v/>
      </c>
      <c r="F10" s="7" t="n">
        <v>5</v>
      </c>
      <c r="G10" s="7">
        <f>COUNTIFS('V5 - File Handling'!$F$2:$F$18,"Compliant",'V5 - File Handling'!$E$2:$E$18,2)</f>
        <v/>
      </c>
      <c r="H10" s="8">
        <f>IF(F10=0,"",G10/F10)</f>
        <v/>
      </c>
      <c r="I10" s="7" t="n">
        <v>4</v>
      </c>
      <c r="J10" s="7">
        <f>COUNTIFS('V5 - File Handling'!$F$2:$F$18,"Compliant",'V5 - File Handling'!$E$2:$E$18,3)</f>
        <v/>
      </c>
      <c r="K10" s="8">
        <f>IF(I10=0,"",J10/I10)</f>
        <v/>
      </c>
      <c r="L10" s="7">
        <f>COUNTIF('V5 - File Handling'!$F$2:$F$18,"Compliant")</f>
        <v/>
      </c>
      <c r="M10" s="8">
        <f>IF(B10=0,"",L10/B10)</f>
        <v/>
      </c>
    </row>
    <row r="11" ht="18" customHeight="1">
      <c r="A11" s="9" t="inlineStr">
        <is>
          <t>V6 – Authentication</t>
        </is>
      </c>
      <c r="B11" s="10" t="n">
        <v>47</v>
      </c>
      <c r="C11" s="10" t="n">
        <v>13</v>
      </c>
      <c r="D11" s="10">
        <f>COUNTIFS('V6 - Authentication'!$F$2:$F$56,"Compliant",'V6 - Authentication'!$E$2:$E$56,1)</f>
        <v/>
      </c>
      <c r="E11" s="11">
        <f>IF(C11=0,"",D11/C11)</f>
        <v/>
      </c>
      <c r="F11" s="10" t="n">
        <v>22</v>
      </c>
      <c r="G11" s="10">
        <f>COUNTIFS('V6 - Authentication'!$F$2:$F$56,"Compliant",'V6 - Authentication'!$E$2:$E$56,2)</f>
        <v/>
      </c>
      <c r="H11" s="11">
        <f>IF(F11=0,"",G11/F11)</f>
        <v/>
      </c>
      <c r="I11" s="10" t="n">
        <v>12</v>
      </c>
      <c r="J11" s="10">
        <f>COUNTIFS('V6 - Authentication'!$F$2:$F$56,"Compliant",'V6 - Authentication'!$E$2:$E$56,3)</f>
        <v/>
      </c>
      <c r="K11" s="11">
        <f>IF(I11=0,"",J11/I11)</f>
        <v/>
      </c>
      <c r="L11" s="10">
        <f>COUNTIF('V6 - Authentication'!$F$2:$F$56,"Compliant")</f>
        <v/>
      </c>
      <c r="M11" s="11">
        <f>IF(B11=0,"",L11/B11)</f>
        <v/>
      </c>
    </row>
    <row r="12" ht="18" customHeight="1">
      <c r="A12" s="6" t="inlineStr">
        <is>
          <t>V7 – Session Management</t>
        </is>
      </c>
      <c r="B12" s="7" t="n">
        <v>19</v>
      </c>
      <c r="C12" s="7" t="n">
        <v>6</v>
      </c>
      <c r="D12" s="7">
        <f>COUNTIFS('V7 - Session Management'!$F$2:$F$26,"Compliant",'V7 - Session Management'!$E$2:$E$26,1)</f>
        <v/>
      </c>
      <c r="E12" s="8">
        <f>IF(C12=0,"",D12/C12)</f>
        <v/>
      </c>
      <c r="F12" s="7" t="n">
        <v>12</v>
      </c>
      <c r="G12" s="7">
        <f>COUNTIFS('V7 - Session Management'!$F$2:$F$26,"Compliant",'V7 - Session Management'!$E$2:$E$26,2)</f>
        <v/>
      </c>
      <c r="H12" s="8">
        <f>IF(F12=0,"",G12/F12)</f>
        <v/>
      </c>
      <c r="I12" s="7" t="n">
        <v>1</v>
      </c>
      <c r="J12" s="7">
        <f>COUNTIFS('V7 - Session Management'!$F$2:$F$26,"Compliant",'V7 - Session Management'!$E$2:$E$26,3)</f>
        <v/>
      </c>
      <c r="K12" s="8">
        <f>IF(I12=0,"",J12/I12)</f>
        <v/>
      </c>
      <c r="L12" s="7">
        <f>COUNTIF('V7 - Session Management'!$F$2:$F$26,"Compliant")</f>
        <v/>
      </c>
      <c r="M12" s="8">
        <f>IF(B12=0,"",L12/B12)</f>
        <v/>
      </c>
    </row>
    <row r="13" ht="18" customHeight="1">
      <c r="A13" s="9" t="inlineStr">
        <is>
          <t>V8 – Authorization</t>
        </is>
      </c>
      <c r="B13" s="10" t="n">
        <v>13</v>
      </c>
      <c r="C13" s="10" t="n">
        <v>4</v>
      </c>
      <c r="D13" s="10">
        <f>COUNTIFS('V8 - Authorization'!$F$2:$F$18,"Compliant",'V8 - Authorization'!$E$2:$E$18,1)</f>
        <v/>
      </c>
      <c r="E13" s="11">
        <f>IF(C13=0,"",D13/C13)</f>
        <v/>
      </c>
      <c r="F13" s="10" t="n">
        <v>3</v>
      </c>
      <c r="G13" s="10">
        <f>COUNTIFS('V8 - Authorization'!$F$2:$F$18,"Compliant",'V8 - Authorization'!$E$2:$E$18,2)</f>
        <v/>
      </c>
      <c r="H13" s="11">
        <f>IF(F13=0,"",G13/F13)</f>
        <v/>
      </c>
      <c r="I13" s="10" t="n">
        <v>6</v>
      </c>
      <c r="J13" s="10">
        <f>COUNTIFS('V8 - Authorization'!$F$2:$F$18,"Compliant",'V8 - Authorization'!$E$2:$E$18,3)</f>
        <v/>
      </c>
      <c r="K13" s="11">
        <f>IF(I13=0,"",J13/I13)</f>
        <v/>
      </c>
      <c r="L13" s="10">
        <f>COUNTIF('V8 - Authorization'!$F$2:$F$18,"Compliant")</f>
        <v/>
      </c>
      <c r="M13" s="11">
        <f>IF(B13=0,"",L13/B13)</f>
        <v/>
      </c>
    </row>
    <row r="14" ht="18" customHeight="1">
      <c r="A14" s="6" t="inlineStr">
        <is>
          <t>V9 – Self-contained Tokens</t>
        </is>
      </c>
      <c r="B14" s="7" t="n">
        <v>7</v>
      </c>
      <c r="C14" s="7" t="n">
        <v>4</v>
      </c>
      <c r="D14" s="7">
        <f>COUNTIFS('V9 - Self-contained Tokens'!$F$2:$F$10,"Compliant",'V9 - Self-contained Tokens'!$E$2:$E$10,1)</f>
        <v/>
      </c>
      <c r="E14" s="8">
        <f>IF(C14=0,"",D14/C14)</f>
        <v/>
      </c>
      <c r="F14" s="7" t="n">
        <v>3</v>
      </c>
      <c r="G14" s="7">
        <f>COUNTIFS('V9 - Self-contained Tokens'!$F$2:$F$10,"Compliant",'V9 - Self-contained Tokens'!$E$2:$E$10,2)</f>
        <v/>
      </c>
      <c r="H14" s="8">
        <f>IF(F14=0,"",G14/F14)</f>
        <v/>
      </c>
      <c r="I14" s="7" t="n">
        <v>0</v>
      </c>
      <c r="J14" s="7" t="inlineStr">
        <is>
          <t>N/A</t>
        </is>
      </c>
      <c r="K14" s="7" t="inlineStr">
        <is>
          <t>N/A</t>
        </is>
      </c>
      <c r="L14" s="7">
        <f>COUNTIF('V9 - Self-contained Tokens'!$F$2:$F$10,"Compliant")</f>
        <v/>
      </c>
      <c r="M14" s="8">
        <f>IF(B14=0,"",L14/B14)</f>
        <v/>
      </c>
    </row>
    <row r="15" ht="18" customHeight="1">
      <c r="A15" s="9" t="inlineStr">
        <is>
          <t>V10 – OAuth and OIDC</t>
        </is>
      </c>
      <c r="B15" s="10" t="n">
        <v>36</v>
      </c>
      <c r="C15" s="10" t="n">
        <v>5</v>
      </c>
      <c r="D15" s="10">
        <f>COUNTIFS('V10 - OAuth and OIDC'!$F$2:$F$44,"Compliant",'V10 - OAuth and OIDC'!$E$2:$E$44,1)</f>
        <v/>
      </c>
      <c r="E15" s="11">
        <f>IF(C15=0,"",D15/C15)</f>
        <v/>
      </c>
      <c r="F15" s="10" t="n">
        <v>24</v>
      </c>
      <c r="G15" s="10">
        <f>COUNTIFS('V10 - OAuth and OIDC'!$F$2:$F$44,"Compliant",'V10 - OAuth and OIDC'!$E$2:$E$44,2)</f>
        <v/>
      </c>
      <c r="H15" s="11">
        <f>IF(F15=0,"",G15/F15)</f>
        <v/>
      </c>
      <c r="I15" s="10" t="n">
        <v>7</v>
      </c>
      <c r="J15" s="10">
        <f>COUNTIFS('V10 - OAuth and OIDC'!$F$2:$F$44,"Compliant",'V10 - OAuth and OIDC'!$E$2:$E$44,3)</f>
        <v/>
      </c>
      <c r="K15" s="11">
        <f>IF(I15=0,"",J15/I15)</f>
        <v/>
      </c>
      <c r="L15" s="10">
        <f>COUNTIF('V10 - OAuth and OIDC'!$F$2:$F$44,"Compliant")</f>
        <v/>
      </c>
      <c r="M15" s="11">
        <f>IF(B15=0,"",L15/B15)</f>
        <v/>
      </c>
    </row>
    <row r="16" ht="18" customHeight="1">
      <c r="A16" s="6" t="inlineStr">
        <is>
          <t>V11 – Cryptography</t>
        </is>
      </c>
      <c r="B16" s="7" t="n">
        <v>24</v>
      </c>
      <c r="C16" s="7" t="n">
        <v>3</v>
      </c>
      <c r="D16" s="7">
        <f>COUNTIFS('V11 - Cryptography'!$F$2:$F$32,"Compliant",'V11 - Cryptography'!$E$2:$E$32,1)</f>
        <v/>
      </c>
      <c r="E16" s="8">
        <f>IF(C16=0,"",D16/C16)</f>
        <v/>
      </c>
      <c r="F16" s="7" t="n">
        <v>11</v>
      </c>
      <c r="G16" s="7">
        <f>COUNTIFS('V11 - Cryptography'!$F$2:$F$32,"Compliant",'V11 - Cryptography'!$E$2:$E$32,2)</f>
        <v/>
      </c>
      <c r="H16" s="8">
        <f>IF(F16=0,"",G16/F16)</f>
        <v/>
      </c>
      <c r="I16" s="7" t="n">
        <v>10</v>
      </c>
      <c r="J16" s="7">
        <f>COUNTIFS('V11 - Cryptography'!$F$2:$F$32,"Compliant",'V11 - Cryptography'!$E$2:$E$32,3)</f>
        <v/>
      </c>
      <c r="K16" s="8">
        <f>IF(I16=0,"",J16/I16)</f>
        <v/>
      </c>
      <c r="L16" s="7">
        <f>COUNTIF('V11 - Cryptography'!$F$2:$F$32,"Compliant")</f>
        <v/>
      </c>
      <c r="M16" s="8">
        <f>IF(B16=0,"",L16/B16)</f>
        <v/>
      </c>
    </row>
    <row r="17" ht="18" customHeight="1">
      <c r="A17" s="9" t="inlineStr">
        <is>
          <t>V12 – Secure Communication</t>
        </is>
      </c>
      <c r="B17" s="10" t="n">
        <v>12</v>
      </c>
      <c r="C17" s="10" t="n">
        <v>3</v>
      </c>
      <c r="D17" s="10">
        <f>COUNTIFS('V12 - Secure Communication'!$F$2:$F$16,"Compliant",'V12 - Secure Communication'!$E$2:$E$16,1)</f>
        <v/>
      </c>
      <c r="E17" s="11">
        <f>IF(C17=0,"",D17/C17)</f>
        <v/>
      </c>
      <c r="F17" s="10" t="n">
        <v>6</v>
      </c>
      <c r="G17" s="10">
        <f>COUNTIFS('V12 - Secure Communication'!$F$2:$F$16,"Compliant",'V12 - Secure Communication'!$E$2:$E$16,2)</f>
        <v/>
      </c>
      <c r="H17" s="11">
        <f>IF(F17=0,"",G17/F17)</f>
        <v/>
      </c>
      <c r="I17" s="10" t="n">
        <v>3</v>
      </c>
      <c r="J17" s="10">
        <f>COUNTIFS('V12 - Secure Communication'!$F$2:$F$16,"Compliant",'V12 - Secure Communication'!$E$2:$E$16,3)</f>
        <v/>
      </c>
      <c r="K17" s="11">
        <f>IF(I17=0,"",J17/I17)</f>
        <v/>
      </c>
      <c r="L17" s="10">
        <f>COUNTIF('V12 - Secure Communication'!$F$2:$F$16,"Compliant")</f>
        <v/>
      </c>
      <c r="M17" s="11">
        <f>IF(B17=0,"",L17/B17)</f>
        <v/>
      </c>
    </row>
    <row r="18" ht="18" customHeight="1">
      <c r="A18" s="6" t="inlineStr">
        <is>
          <t>V13 – Configuration</t>
        </is>
      </c>
      <c r="B18" s="7" t="n">
        <v>21</v>
      </c>
      <c r="C18" s="7" t="n">
        <v>1</v>
      </c>
      <c r="D18" s="7">
        <f>COUNTIFS('V13 - Configuration'!$F$2:$F$26,"Compliant",'V13 - Configuration'!$E$2:$E$26,1)</f>
        <v/>
      </c>
      <c r="E18" s="8">
        <f>IF(C18=0,"",D18/C18)</f>
        <v/>
      </c>
      <c r="F18" s="7" t="n">
        <v>12</v>
      </c>
      <c r="G18" s="7">
        <f>COUNTIFS('V13 - Configuration'!$F$2:$F$26,"Compliant",'V13 - Configuration'!$E$2:$E$26,2)</f>
        <v/>
      </c>
      <c r="H18" s="8">
        <f>IF(F18=0,"",G18/F18)</f>
        <v/>
      </c>
      <c r="I18" s="7" t="n">
        <v>8</v>
      </c>
      <c r="J18" s="7">
        <f>COUNTIFS('V13 - Configuration'!$F$2:$F$26,"Compliant",'V13 - Configuration'!$E$2:$E$26,3)</f>
        <v/>
      </c>
      <c r="K18" s="8">
        <f>IF(I18=0,"",J18/I18)</f>
        <v/>
      </c>
      <c r="L18" s="7">
        <f>COUNTIF('V13 - Configuration'!$F$2:$F$26,"Compliant")</f>
        <v/>
      </c>
      <c r="M18" s="8">
        <f>IF(B18=0,"",L18/B18)</f>
        <v/>
      </c>
    </row>
    <row r="19" ht="18" customHeight="1">
      <c r="A19" s="9" t="inlineStr">
        <is>
          <t>V14 – Data Protection</t>
        </is>
      </c>
      <c r="B19" s="10" t="n">
        <v>13</v>
      </c>
      <c r="C19" s="10" t="n">
        <v>2</v>
      </c>
      <c r="D19" s="10">
        <f>COUNTIFS('V14 - Data Protection'!$F$2:$F$17,"Compliant",'V14 - Data Protection'!$E$2:$E$17,1)</f>
        <v/>
      </c>
      <c r="E19" s="11">
        <f>IF(C19=0,"",D19/C19)</f>
        <v/>
      </c>
      <c r="F19" s="10" t="n">
        <v>7</v>
      </c>
      <c r="G19" s="10">
        <f>COUNTIFS('V14 - Data Protection'!$F$2:$F$17,"Compliant",'V14 - Data Protection'!$E$2:$E$17,2)</f>
        <v/>
      </c>
      <c r="H19" s="11">
        <f>IF(F19=0,"",G19/F19)</f>
        <v/>
      </c>
      <c r="I19" s="10" t="n">
        <v>4</v>
      </c>
      <c r="J19" s="10">
        <f>COUNTIFS('V14 - Data Protection'!$F$2:$F$17,"Compliant",'V14 - Data Protection'!$E$2:$E$17,3)</f>
        <v/>
      </c>
      <c r="K19" s="11">
        <f>IF(I19=0,"",J19/I19)</f>
        <v/>
      </c>
      <c r="L19" s="10">
        <f>COUNTIF('V14 - Data Protection'!$F$2:$F$17,"Compliant")</f>
        <v/>
      </c>
      <c r="M19" s="11">
        <f>IF(B19=0,"",L19/B19)</f>
        <v/>
      </c>
    </row>
    <row r="20" ht="18" customHeight="1">
      <c r="A20" s="6" t="inlineStr">
        <is>
          <t>V15 – Secure Coding and Architecture</t>
        </is>
      </c>
      <c r="B20" s="7" t="n">
        <v>21</v>
      </c>
      <c r="C20" s="7" t="n">
        <v>3</v>
      </c>
      <c r="D20" s="7">
        <f>COUNTIFS('V15 - Secure Coding and Archite'!$F$2:$F$26,"Compliant",'V15 - Secure Coding and Archite'!$E$2:$E$26,1)</f>
        <v/>
      </c>
      <c r="E20" s="8">
        <f>IF(C20=0,"",D20/C20)</f>
        <v/>
      </c>
      <c r="F20" s="7" t="n">
        <v>10</v>
      </c>
      <c r="G20" s="7">
        <f>COUNTIFS('V15 - Secure Coding and Archite'!$F$2:$F$26,"Compliant",'V15 - Secure Coding and Archite'!$E$2:$E$26,2)</f>
        <v/>
      </c>
      <c r="H20" s="8">
        <f>IF(F20=0,"",G20/F20)</f>
        <v/>
      </c>
      <c r="I20" s="7" t="n">
        <v>8</v>
      </c>
      <c r="J20" s="7">
        <f>COUNTIFS('V15 - Secure Coding and Archite'!$F$2:$F$26,"Compliant",'V15 - Secure Coding and Archite'!$E$2:$E$26,3)</f>
        <v/>
      </c>
      <c r="K20" s="8">
        <f>IF(I20=0,"",J20/I20)</f>
        <v/>
      </c>
      <c r="L20" s="7">
        <f>COUNTIF('V15 - Secure Coding and Archite'!$F$2:$F$26,"Compliant")</f>
        <v/>
      </c>
      <c r="M20" s="8">
        <f>IF(B20=0,"",L20/B20)</f>
        <v/>
      </c>
    </row>
    <row r="21" ht="18" customHeight="1">
      <c r="A21" s="9" t="inlineStr">
        <is>
          <t>V16 – Security Logging and Error Handling</t>
        </is>
      </c>
      <c r="B21" s="10" t="n">
        <v>17</v>
      </c>
      <c r="C21" s="10" t="n">
        <v>0</v>
      </c>
      <c r="D21" s="10" t="inlineStr">
        <is>
          <t>N/A</t>
        </is>
      </c>
      <c r="E21" s="10" t="inlineStr">
        <is>
          <t>N/A</t>
        </is>
      </c>
      <c r="F21" s="10" t="n">
        <v>16</v>
      </c>
      <c r="G21" s="10">
        <f>COUNTIFS('V16 - Security Logging and Erro'!$F$2:$F$23,"Compliant",'V16 - Security Logging and Erro'!$E$2:$E$23,2)</f>
        <v/>
      </c>
      <c r="H21" s="11">
        <f>IF(F21=0,"",G21/F21)</f>
        <v/>
      </c>
      <c r="I21" s="10" t="n">
        <v>1</v>
      </c>
      <c r="J21" s="10">
        <f>COUNTIFS('V16 - Security Logging and Erro'!$F$2:$F$23,"Compliant",'V16 - Security Logging and Erro'!$E$2:$E$23,3)</f>
        <v/>
      </c>
      <c r="K21" s="11">
        <f>IF(I21=0,"",J21/I21)</f>
        <v/>
      </c>
      <c r="L21" s="10">
        <f>COUNTIF('V16 - Security Logging and Erro'!$F$2:$F$23,"Compliant")</f>
        <v/>
      </c>
      <c r="M21" s="11">
        <f>IF(B21=0,"",L21/B21)</f>
        <v/>
      </c>
    </row>
    <row r="22" ht="18" customHeight="1">
      <c r="A22" s="6" t="inlineStr">
        <is>
          <t>V17 – WebRTC</t>
        </is>
      </c>
      <c r="B22" s="7" t="n">
        <v>12</v>
      </c>
      <c r="C22" s="7" t="n">
        <v>0</v>
      </c>
      <c r="D22" s="7" t="inlineStr">
        <is>
          <t>N/A</t>
        </is>
      </c>
      <c r="E22" s="7" t="inlineStr">
        <is>
          <t>N/A</t>
        </is>
      </c>
      <c r="F22" s="7" t="n">
        <v>7</v>
      </c>
      <c r="G22" s="7">
        <f>COUNTIFS('V17 - WebRTC'!$F$2:$F$16,"Compliant",'V17 - WebRTC'!$E$2:$E$16,2)</f>
        <v/>
      </c>
      <c r="H22" s="8">
        <f>IF(F22=0,"",G22/F22)</f>
        <v/>
      </c>
      <c r="I22" s="7" t="n">
        <v>5</v>
      </c>
      <c r="J22" s="7">
        <f>COUNTIFS('V17 - WebRTC'!$F$2:$F$16,"Compliant",'V17 - WebRTC'!$E$2:$E$16,3)</f>
        <v/>
      </c>
      <c r="K22" s="8">
        <f>IF(I22=0,"",J22/I22)</f>
        <v/>
      </c>
      <c r="L22" s="7">
        <f>COUNTIF('V17 - WebRTC'!$F$2:$F$16,"Compliant")</f>
        <v/>
      </c>
      <c r="M22" s="8">
        <f>IF(B22=0,"",L22/B22)</f>
        <v/>
      </c>
    </row>
    <row r="23" ht="21.95" customHeight="1">
      <c r="A23" s="12" t="inlineStr">
        <is>
          <t>TOTAL</t>
        </is>
      </c>
      <c r="B23" s="13">
        <f>SUM(B6:B22)</f>
        <v/>
      </c>
      <c r="C23" s="13">
        <f>SUM(C6:C22)</f>
        <v/>
      </c>
      <c r="D23" s="13">
        <f>SUM(D6:D22)</f>
        <v/>
      </c>
      <c r="E23" s="14">
        <f>IFERROR(AVERAGE(E6:E22),"")</f>
        <v/>
      </c>
      <c r="F23" s="13">
        <f>SUM(F6:F22)</f>
        <v/>
      </c>
      <c r="G23" s="13">
        <f>SUM(G6:G22)</f>
        <v/>
      </c>
      <c r="H23" s="14">
        <f>IFERROR(AVERAGE(H6:H22),"")</f>
        <v/>
      </c>
      <c r="I23" s="13">
        <f>SUM(I6:I22)</f>
        <v/>
      </c>
      <c r="J23" s="13">
        <f>SUM(J6:J22)</f>
        <v/>
      </c>
      <c r="K23" s="14">
        <f>IFERROR(AVERAGE(K6:K22),"")</f>
        <v/>
      </c>
      <c r="L23" s="13">
        <f>SUM(L6:L22)</f>
        <v/>
      </c>
      <c r="M23" s="14">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zoomScale="75" zoomScaleNormal="75" workbookViewId="0">
      <pane ySplit="1" topLeftCell="A7" activePane="bottomLeft" state="frozen"/>
      <selection pane="bottomLeft" activeCell="H15" sqref="H15"/>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V1.1</t>
        </is>
      </c>
      <c r="B2" s="16" t="inlineStr">
        <is>
          <t>Encoding and Sanitization Architecture</t>
        </is>
      </c>
      <c r="C2" s="16" t="n"/>
      <c r="D2" s="16" t="n"/>
      <c r="E2" s="16" t="n"/>
      <c r="F2" s="16" t="n"/>
      <c r="G2" s="16" t="n"/>
      <c r="H2" s="16" t="n"/>
    </row>
    <row r="3" ht="30" customHeight="1">
      <c r="A3" s="17" t="inlineStr">
        <is>
          <t>V1.1</t>
        </is>
      </c>
      <c r="B3" s="17" t="inlineStr">
        <is>
          <t>Encoding and Sanitization Architecture</t>
        </is>
      </c>
      <c r="C3" s="18" t="inlineStr">
        <is>
          <t>V1.1.1</t>
        </is>
      </c>
      <c r="D3" s="19"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20" t="n">
        <v>2</v>
      </c>
      <c r="F3" s="21" t="inlineStr">
        <is>
          <t>Not Started</t>
        </is>
      </c>
      <c r="G3" s="19" t="inlineStr">
        <is>
          <t xml:space="preserve">Spring/Jackson faz parsing único de JSON	</t>
        </is>
      </c>
      <c r="H3" s="27" t="inlineStr">
        <is>
          <t xml:space="preserve">SDR06 </t>
        </is>
      </c>
    </row>
    <row r="4" ht="30" customHeight="1">
      <c r="A4" s="22" t="inlineStr">
        <is>
          <t>V1.1</t>
        </is>
      </c>
      <c r="B4" s="22" t="inlineStr">
        <is>
          <t>Encoding and Sanitization Architecture</t>
        </is>
      </c>
      <c r="C4" s="23" t="inlineStr">
        <is>
          <t>V1.1.2</t>
        </is>
      </c>
      <c r="D4" s="24" t="inlineStr">
        <is>
          <t>Verify that the application performs output encoding and escaping either as a final step before being used by the interpreter for which it is intended or by the interpreter itself.</t>
        </is>
      </c>
      <c r="E4" s="20" t="n">
        <v>2</v>
      </c>
      <c r="F4" s="21" t="inlineStr">
        <is>
          <t>Not Started</t>
        </is>
      </c>
      <c r="G4" s="27" t="inlineStr">
        <is>
          <t xml:space="preserve">Jackson serializa JSON automaticamente </t>
        </is>
      </c>
      <c r="H4" s="27" t="inlineStr">
        <is>
          <t>SDR09</t>
        </is>
      </c>
    </row>
    <row r="5" ht="18" customHeight="1">
      <c r="A5" s="16" t="inlineStr">
        <is>
          <t>V1.2</t>
        </is>
      </c>
      <c r="B5" s="16" t="inlineStr">
        <is>
          <t>Injection Prevention</t>
        </is>
      </c>
      <c r="C5" s="16" t="n"/>
      <c r="D5" s="16" t="n"/>
      <c r="E5" s="16" t="n"/>
      <c r="F5" s="16" t="n"/>
      <c r="G5" s="27" t="n"/>
      <c r="H5" s="16" t="n"/>
    </row>
    <row r="6" ht="30" customHeight="1">
      <c r="A6" s="17" t="inlineStr">
        <is>
          <t>V1.2</t>
        </is>
      </c>
      <c r="B6" s="17" t="inlineStr">
        <is>
          <t>Injection Prevention</t>
        </is>
      </c>
      <c r="C6" s="18" t="inlineStr">
        <is>
          <t>V1.2.1</t>
        </is>
      </c>
      <c r="D6" s="19"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5" t="n">
        <v>1</v>
      </c>
      <c r="F6" s="21" t="inlineStr">
        <is>
          <t>Not Applicable</t>
        </is>
      </c>
      <c r="G6" s="27" t="inlineStr">
        <is>
          <t xml:space="preserve">API retorna apenas JSON; sem HTML rendering </t>
        </is>
      </c>
      <c r="H6" s="19" t="n"/>
    </row>
    <row r="7" ht="30" customHeight="1">
      <c r="A7" s="22" t="inlineStr">
        <is>
          <t>V1.2</t>
        </is>
      </c>
      <c r="B7" s="22" t="inlineStr">
        <is>
          <t>Injection Prevention</t>
        </is>
      </c>
      <c r="C7" s="23" t="inlineStr">
        <is>
          <t>V1.2.2</t>
        </is>
      </c>
      <c r="D7" s="24" t="inlineStr">
        <is>
          <t>Verify that when dynamically building URLs, untrusted data is encoded according to its context (e.g., URL encoding or base64url encoding for query or path parameters). Ensure that only safe URL protocols are permitted (e.g., disallow javascript: or data:).</t>
        </is>
      </c>
      <c r="E7" s="25" t="n">
        <v>1</v>
      </c>
      <c r="F7" s="21" t="inlineStr">
        <is>
          <t>Not Applicable</t>
        </is>
      </c>
      <c r="G7" s="27" t="inlineStr">
        <is>
          <t xml:space="preserve">API não constrói URLs dinâmicas com input do utilizador </t>
        </is>
      </c>
      <c r="H7" s="24" t="n"/>
    </row>
    <row r="8" ht="30" customHeight="1">
      <c r="A8" s="17" t="inlineStr">
        <is>
          <t>V1.2</t>
        </is>
      </c>
      <c r="B8" s="17" t="inlineStr">
        <is>
          <t>Injection Prevention</t>
        </is>
      </c>
      <c r="C8" s="18" t="inlineStr">
        <is>
          <t>V1.2.3</t>
        </is>
      </c>
      <c r="D8" s="19" t="inlineStr">
        <is>
          <t>Verify that output encoding or escaping is used when dynamically building JavaScript content (including JSON), to avoid changing the message or document structure (to avoid JavaScript and JSON injection).</t>
        </is>
      </c>
      <c r="E8" s="25" t="n">
        <v>1</v>
      </c>
      <c r="F8" s="21" t="inlineStr">
        <is>
          <t>Not Applicable</t>
        </is>
      </c>
      <c r="G8" s="27" t="inlineStr">
        <is>
          <t xml:space="preserve">REST API JSON; sem contexto JavaScript </t>
        </is>
      </c>
      <c r="H8" s="19" t="n"/>
    </row>
    <row r="9" ht="30" customHeight="1">
      <c r="A9" s="22" t="inlineStr">
        <is>
          <t>V1.2</t>
        </is>
      </c>
      <c r="B9" s="22" t="inlineStr">
        <is>
          <t>Injection Prevention</t>
        </is>
      </c>
      <c r="C9" s="23" t="inlineStr">
        <is>
          <t>V1.2.4</t>
        </is>
      </c>
      <c r="D9" s="24"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5" t="n">
        <v>1</v>
      </c>
      <c r="F9" s="21" t="inlineStr">
        <is>
          <t>Not Started</t>
        </is>
      </c>
      <c r="G9" s="27" t="inlineStr">
        <is>
          <t xml:space="preserve">JPA/Hibernate com JPQL parametrizado </t>
        </is>
      </c>
      <c r="H9" s="27" t="inlineStr">
        <is>
          <t xml:space="preserve">SDR08 / TC17 </t>
        </is>
      </c>
    </row>
    <row r="10" ht="30" customHeight="1">
      <c r="A10" s="17" t="inlineStr">
        <is>
          <t>V1.2</t>
        </is>
      </c>
      <c r="B10" s="17" t="inlineStr">
        <is>
          <t>Injection Prevention</t>
        </is>
      </c>
      <c r="C10" s="18" t="inlineStr">
        <is>
          <t>V1.2.5</t>
        </is>
      </c>
      <c r="D10" s="19" t="inlineStr">
        <is>
          <t>Verify that the application protects against OS command injection and that operating system calls use parameterized OS queries or use contextual command line output encoding.</t>
        </is>
      </c>
      <c r="E10" s="25" t="n">
        <v>1</v>
      </c>
      <c r="F10" s="21" t="inlineStr">
        <is>
          <t>Not Started</t>
        </is>
      </c>
      <c r="G10" s="27" t="inlineStr">
        <is>
          <t xml:space="preserve">Sem OS commands; paths validados por allowlist </t>
        </is>
      </c>
      <c r="H10" s="27" t="inlineStr">
        <is>
          <t xml:space="preserve">SDR13 / TC15 </t>
        </is>
      </c>
    </row>
    <row r="11" ht="30" customHeight="1">
      <c r="A11" s="22" t="inlineStr">
        <is>
          <t>V1.2</t>
        </is>
      </c>
      <c r="B11" s="22" t="inlineStr">
        <is>
          <t>Injection Prevention</t>
        </is>
      </c>
      <c r="C11" s="23" t="inlineStr">
        <is>
          <t>V1.2.6</t>
        </is>
      </c>
      <c r="D11" s="24" t="inlineStr">
        <is>
          <t>Verify that the application protects against LDAP injection vulnerabilities, or that specific security controls to prevent LDAP injection have been implemented.</t>
        </is>
      </c>
      <c r="E11" s="20" t="n">
        <v>2</v>
      </c>
      <c r="F11" s="21" t="inlineStr">
        <is>
          <t>Not Applicable</t>
        </is>
      </c>
      <c r="G11" s="27" t="inlineStr">
        <is>
          <t xml:space="preserve">Sem LDAP no sistema </t>
        </is>
      </c>
      <c r="H11" s="24" t="n"/>
    </row>
    <row r="12" ht="30" customHeight="1">
      <c r="A12" s="17" t="inlineStr">
        <is>
          <t>V1.2</t>
        </is>
      </c>
      <c r="B12" s="17" t="inlineStr">
        <is>
          <t>Injection Prevention</t>
        </is>
      </c>
      <c r="C12" s="18" t="inlineStr">
        <is>
          <t>V1.2.7</t>
        </is>
      </c>
      <c r="D12" s="19" t="inlineStr">
        <is>
          <t>Verify that the application is protected against XPath injection attacks by using query parameterization or precompiled queries.</t>
        </is>
      </c>
      <c r="E12" s="20" t="n">
        <v>2</v>
      </c>
      <c r="F12" s="21" t="inlineStr">
        <is>
          <t>Not Applicable</t>
        </is>
      </c>
      <c r="G12" s="27" t="inlineStr">
        <is>
          <t xml:space="preserve">Sem XML/XPath </t>
        </is>
      </c>
      <c r="H12" s="19" t="n"/>
    </row>
    <row r="13" ht="30" customHeight="1">
      <c r="A13" s="22" t="inlineStr">
        <is>
          <t>V1.2</t>
        </is>
      </c>
      <c r="B13" s="22" t="inlineStr">
        <is>
          <t>Injection Prevention</t>
        </is>
      </c>
      <c r="C13" s="23" t="inlineStr">
        <is>
          <t>V1.2.8</t>
        </is>
      </c>
      <c r="D13" s="24" t="inlineStr">
        <is>
          <t>Verify that LaTeX processors are configured securely (such as not using the "--shell-escape" flag) and an allowlist of commands is used to prevent LaTeX injection attacks.</t>
        </is>
      </c>
      <c r="E13" s="20" t="n">
        <v>2</v>
      </c>
      <c r="F13" s="21" t="inlineStr">
        <is>
          <t>Not Applicable</t>
        </is>
      </c>
      <c r="G13" s="27" t="inlineStr">
        <is>
          <t xml:space="preserve">Sem LaTeX </t>
        </is>
      </c>
      <c r="H13" s="24" t="n"/>
    </row>
    <row r="14" ht="30" customHeight="1">
      <c r="A14" s="17" t="inlineStr">
        <is>
          <t>V1.2</t>
        </is>
      </c>
      <c r="B14" s="17" t="inlineStr">
        <is>
          <t>Injection Prevention</t>
        </is>
      </c>
      <c r="C14" s="18" t="inlineStr">
        <is>
          <t>V1.2.9</t>
        </is>
      </c>
      <c r="D14" s="19" t="inlineStr">
        <is>
          <t>Verify that the application escapes special characters in regular expressions (typically using a backslash) to prevent them from being misinterpreted as metacharacters.</t>
        </is>
      </c>
      <c r="E14" s="20" t="n">
        <v>2</v>
      </c>
      <c r="F14" s="21" t="inlineStr">
        <is>
          <t>Not Started</t>
        </is>
      </c>
      <c r="G14" s="27" t="inlineStr">
        <is>
          <t xml:space="preserve">Regex de validação de filenames (^[a-zA-Z0-9_\-]+\.csv$) </t>
        </is>
      </c>
      <c r="H14" s="28" t="inlineStr">
        <is>
          <t>SDR13</t>
        </is>
      </c>
      <c r="M14" s="30" t="n"/>
    </row>
    <row r="15" ht="30" customHeight="1">
      <c r="A15" s="22" t="inlineStr">
        <is>
          <t>V1.2</t>
        </is>
      </c>
      <c r="B15" s="22" t="inlineStr">
        <is>
          <t>Injection Prevention</t>
        </is>
      </c>
      <c r="C15" s="23" t="inlineStr">
        <is>
          <t>V1.2.10</t>
        </is>
      </c>
      <c r="D15" s="24"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6" t="n">
        <v>3</v>
      </c>
      <c r="F15" s="21" t="inlineStr">
        <is>
          <t>Not Started</t>
        </is>
      </c>
      <c r="G15" s="27" t="inlineStr">
        <is>
          <t xml:space="preserve">Coffeetaria gera CSV — vetor real (nomes de pratos com =CMD) </t>
        </is>
      </c>
      <c r="H15" s="27" t="inlineStr">
        <is>
          <t xml:space="preserve">SDR14 / TC37 </t>
        </is>
      </c>
    </row>
    <row r="16" ht="18" customHeight="1">
      <c r="A16" s="16" t="inlineStr">
        <is>
          <t>V1.3</t>
        </is>
      </c>
      <c r="B16" s="16" t="inlineStr">
        <is>
          <t>Sanitization</t>
        </is>
      </c>
      <c r="C16" s="16" t="n"/>
      <c r="D16" s="16" t="n"/>
      <c r="E16" s="16" t="n"/>
      <c r="F16" s="16" t="n"/>
      <c r="G16" s="16" t="n"/>
      <c r="H16" s="16" t="n"/>
    </row>
    <row r="17" ht="30" customHeight="1">
      <c r="A17" s="17" t="inlineStr">
        <is>
          <t>V1.3</t>
        </is>
      </c>
      <c r="B17" s="17" t="inlineStr">
        <is>
          <t>Sanitization</t>
        </is>
      </c>
      <c r="C17" s="18" t="inlineStr">
        <is>
          <t>V1.3.1</t>
        </is>
      </c>
      <c r="D17" s="19" t="inlineStr">
        <is>
          <t>Verify that all untrusted HTML input from WYSIWYG editors or similar is sanitized using a well-known and secure HTML sanitization library or framework feature.</t>
        </is>
      </c>
      <c r="E17" s="25" t="n">
        <v>1</v>
      </c>
      <c r="F17" s="21" t="inlineStr">
        <is>
          <t>Not Applicable</t>
        </is>
      </c>
      <c r="G17" s="27" t="inlineStr">
        <is>
          <t xml:space="preserve">Sem WYSIWYG </t>
        </is>
      </c>
      <c r="H17" s="19" t="n"/>
    </row>
    <row r="18" ht="30" customHeight="1">
      <c r="A18" s="22" t="inlineStr">
        <is>
          <t>V1.3</t>
        </is>
      </c>
      <c r="B18" s="22" t="inlineStr">
        <is>
          <t>Sanitization</t>
        </is>
      </c>
      <c r="C18" s="23" t="inlineStr">
        <is>
          <t>V1.3.2</t>
        </is>
      </c>
      <c r="D18" s="24" t="inlineStr">
        <is>
          <t>Verify that the application avoids the use of eval() or other dynamic code execution features such as Spring Expression Language (SpEL). Where there is no alternative, any user input being included must be sanitized before being executed.</t>
        </is>
      </c>
      <c r="E18" s="25" t="n">
        <v>1</v>
      </c>
      <c r="F18" s="21" t="inlineStr">
        <is>
          <t>Not Started</t>
        </is>
      </c>
      <c r="G18" s="27" t="inlineStr">
        <is>
          <t xml:space="preserve">SAST deve detetar SpEL inseguro em anotações </t>
        </is>
      </c>
      <c r="H18" s="27" t="inlineStr">
        <is>
          <t xml:space="preserve">SDR23 / TC23 </t>
        </is>
      </c>
    </row>
    <row r="19" ht="30" customHeight="1">
      <c r="A19" s="17" t="inlineStr">
        <is>
          <t>V1.3</t>
        </is>
      </c>
      <c r="B19" s="17" t="inlineStr">
        <is>
          <t>Sanitization</t>
        </is>
      </c>
      <c r="C19" s="18" t="inlineStr">
        <is>
          <t>V1.3.3</t>
        </is>
      </c>
      <c r="D19" s="19" t="inlineStr">
        <is>
          <t>Verify that data being passed to a potentially dangerous context is sanitized beforehand to enforce safety measures, such as only allowing characters which are safe for this context and trimming input which is too long.</t>
        </is>
      </c>
      <c r="E19" s="20" t="n">
        <v>2</v>
      </c>
      <c r="F19" s="29" t="inlineStr">
        <is>
          <t>Not Started</t>
        </is>
      </c>
      <c r="G19" s="27" t="inlineStr">
        <is>
          <t xml:space="preserve">Input validado por DTOs estritos </t>
        </is>
      </c>
      <c r="H19" s="27" t="inlineStr">
        <is>
          <t xml:space="preserve">SDR06, SDR07 </t>
        </is>
      </c>
    </row>
    <row r="20" ht="30" customHeight="1">
      <c r="A20" s="22" t="inlineStr">
        <is>
          <t>V1.3</t>
        </is>
      </c>
      <c r="B20" s="22" t="inlineStr">
        <is>
          <t>Sanitization</t>
        </is>
      </c>
      <c r="C20" s="23" t="inlineStr">
        <is>
          <t>V1.3.4</t>
        </is>
      </c>
      <c r="D20" s="24" t="inlineStr">
        <is>
          <t>Verify that user-supplied Scalable Vector Graphics (SVG) scriptable content is validated or sanitized to contain only tags and attributes (such as draw graphics) that are safe for the application, e.g., do not contain scripts and foreignObject.</t>
        </is>
      </c>
      <c r="E20" s="20" t="n">
        <v>2</v>
      </c>
      <c r="F20" s="21" t="inlineStr">
        <is>
          <t>Not Applicable</t>
        </is>
      </c>
      <c r="G20" s="27" t="inlineStr">
        <is>
          <t xml:space="preserve">Sem SVG </t>
        </is>
      </c>
      <c r="H20" s="24" t="n"/>
    </row>
    <row r="21" ht="30" customHeight="1">
      <c r="A21" s="17" t="inlineStr">
        <is>
          <t>V1.3</t>
        </is>
      </c>
      <c r="B21" s="17" t="inlineStr">
        <is>
          <t>Sanitization</t>
        </is>
      </c>
      <c r="C21" s="18" t="inlineStr">
        <is>
          <t>V1.3.5</t>
        </is>
      </c>
      <c r="D21" s="19" t="inlineStr">
        <is>
          <t>Verify that the application sanitizes or disables user-supplied scriptable or expression template language content, such as Markdown, CSS or XSL stylesheets, BBCode, or similar.</t>
        </is>
      </c>
      <c r="E21" s="20" t="n">
        <v>2</v>
      </c>
      <c r="F21" s="21" t="inlineStr">
        <is>
          <t>Not Applicable</t>
        </is>
      </c>
      <c r="G21" s="27" t="inlineStr">
        <is>
          <t xml:space="preserve">Sem template engine exposta ao utilizador </t>
        </is>
      </c>
      <c r="H21" s="19" t="n"/>
    </row>
    <row r="22" ht="30" customHeight="1">
      <c r="A22" s="22" t="inlineStr">
        <is>
          <t>V1.3</t>
        </is>
      </c>
      <c r="B22" s="22" t="inlineStr">
        <is>
          <t>Sanitization</t>
        </is>
      </c>
      <c r="C22" s="23" t="inlineStr">
        <is>
          <t>V1.3.6</t>
        </is>
      </c>
      <c r="D22" s="24"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20" t="n">
        <v>2</v>
      </c>
      <c r="F22" s="21" t="inlineStr">
        <is>
          <t>Not Applicable</t>
        </is>
      </c>
      <c r="G22" s="27" t="inlineStr">
        <is>
          <t xml:space="preserve">Sem chamadas HTTP outbound a URLs do utilizador </t>
        </is>
      </c>
      <c r="H22" s="24" t="n"/>
    </row>
    <row r="23" ht="30" customHeight="1">
      <c r="A23" s="17" t="inlineStr">
        <is>
          <t>V1.3</t>
        </is>
      </c>
      <c r="B23" s="17" t="inlineStr">
        <is>
          <t>Sanitization</t>
        </is>
      </c>
      <c r="C23" s="18" t="inlineStr">
        <is>
          <t>V1.3.7</t>
        </is>
      </c>
      <c r="D23" s="19"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20" t="n">
        <v>2</v>
      </c>
      <c r="F23" s="21" t="inlineStr">
        <is>
          <t>Not Applicable</t>
        </is>
      </c>
      <c r="G23" s="27" t="inlineStr">
        <is>
          <t xml:space="preserve">Sem server-side template rendering exposto </t>
        </is>
      </c>
      <c r="H23" s="19" t="n"/>
    </row>
    <row r="24" ht="30" customHeight="1">
      <c r="A24" s="22" t="inlineStr">
        <is>
          <t>V1.3</t>
        </is>
      </c>
      <c r="B24" s="22" t="inlineStr">
        <is>
          <t>Sanitization</t>
        </is>
      </c>
      <c r="C24" s="23" t="inlineStr">
        <is>
          <t>V1.3.8</t>
        </is>
      </c>
      <c r="D24" s="24" t="inlineStr">
        <is>
          <t>Verify that the application appropriately sanitizes untrusted input before use in Java Naming and Directory Interface (JNDI) queries and that JNDI is configured securely to prevent JNDI injection attacks.</t>
        </is>
      </c>
      <c r="E24" s="20" t="n">
        <v>2</v>
      </c>
      <c r="F24" s="21" t="inlineStr">
        <is>
          <t>Not Started</t>
        </is>
      </c>
      <c r="G24" s="27" t="inlineStr">
        <is>
          <t xml:space="preserve">SCA/SAST cobre Log4Shell e afins </t>
        </is>
      </c>
      <c r="H24" s="27" t="inlineStr">
        <is>
          <t xml:space="preserve">SDR23 / TC23 </t>
        </is>
      </c>
    </row>
    <row r="25" ht="30" customHeight="1">
      <c r="A25" s="17" t="inlineStr">
        <is>
          <t>V1.3</t>
        </is>
      </c>
      <c r="B25" s="17" t="inlineStr">
        <is>
          <t>Sanitization</t>
        </is>
      </c>
      <c r="C25" s="18" t="inlineStr">
        <is>
          <t>V1.3.9</t>
        </is>
      </c>
      <c r="D25" s="19" t="inlineStr">
        <is>
          <t>Verify that the application sanitizes content before it is sent to memcache to prevent injection attacks.</t>
        </is>
      </c>
      <c r="E25" s="20" t="n">
        <v>2</v>
      </c>
      <c r="F25" s="21" t="inlineStr">
        <is>
          <t>Not Applicable</t>
        </is>
      </c>
      <c r="G25" s="27" t="inlineStr">
        <is>
          <t xml:space="preserve">Sem memcache </t>
        </is>
      </c>
      <c r="H25" s="19" t="n"/>
    </row>
    <row r="26" ht="30" customHeight="1">
      <c r="A26" s="22" t="inlineStr">
        <is>
          <t>V1.3</t>
        </is>
      </c>
      <c r="B26" s="22" t="inlineStr">
        <is>
          <t>Sanitization</t>
        </is>
      </c>
      <c r="C26" s="23" t="inlineStr">
        <is>
          <t>V1.3.10</t>
        </is>
      </c>
      <c r="D26" s="24" t="inlineStr">
        <is>
          <t>Verify that format strings which might resolve in an unexpected or malicious way when used are sanitized before being processed.</t>
        </is>
      </c>
      <c r="E26" s="20" t="n">
        <v>2</v>
      </c>
      <c r="F26" s="21" t="inlineStr">
        <is>
          <t>Not Started</t>
        </is>
      </c>
      <c r="G26" s="27" t="inlineStr">
        <is>
          <t xml:space="preserve">Structured logging sem concatenação de strings </t>
        </is>
      </c>
      <c r="H26" s="27" t="inlineStr">
        <is>
          <t xml:space="preserve">SDR16 / TC19 </t>
        </is>
      </c>
    </row>
    <row r="27" ht="30" customHeight="1">
      <c r="A27" s="17" t="inlineStr">
        <is>
          <t>V1.3</t>
        </is>
      </c>
      <c r="B27" s="17" t="inlineStr">
        <is>
          <t>Sanitization</t>
        </is>
      </c>
      <c r="C27" s="18" t="inlineStr">
        <is>
          <t>V1.3.11</t>
        </is>
      </c>
      <c r="D27" s="19" t="inlineStr">
        <is>
          <t>Verify that the application sanitizes user input before passing to mail systems to protect against SMTP or IMAP injection.</t>
        </is>
      </c>
      <c r="E27" s="20" t="n">
        <v>2</v>
      </c>
      <c r="F27" s="21" t="inlineStr">
        <is>
          <t>Not Applicable</t>
        </is>
      </c>
      <c r="G27" s="27" t="inlineStr">
        <is>
          <t xml:space="preserve">Sem funcionalidade de email </t>
        </is>
      </c>
      <c r="H27" s="19" t="n"/>
    </row>
    <row r="28" ht="30" customHeight="1">
      <c r="A28" s="22" t="inlineStr">
        <is>
          <t>V1.3</t>
        </is>
      </c>
      <c r="B28" s="22" t="inlineStr">
        <is>
          <t>Sanitization</t>
        </is>
      </c>
      <c r="C28" s="23" t="inlineStr">
        <is>
          <t>V1.3.12</t>
        </is>
      </c>
      <c r="D28" s="24" t="inlineStr">
        <is>
          <t>Verify that regular expressions are free from elements causing exponential backtracking, and ensure untrusted input is sanitized to mitigate ReDoS or Runaway Regex attacks.</t>
        </is>
      </c>
      <c r="E28" s="26" t="n">
        <v>3</v>
      </c>
      <c r="F28" s="21" t="inlineStr">
        <is>
          <t>Not Started</t>
        </is>
      </c>
      <c r="G28" s="27" t="inlineStr">
        <is>
          <t xml:space="preserve">SAST verifica regex de validação de filenames </t>
        </is>
      </c>
      <c r="H28" s="27" t="inlineStr">
        <is>
          <t xml:space="preserve">SDR13 / TC23 </t>
        </is>
      </c>
    </row>
    <row r="29" ht="18" customHeight="1">
      <c r="A29" s="16" t="inlineStr">
        <is>
          <t>V1.4</t>
        </is>
      </c>
      <c r="B29" s="16" t="inlineStr">
        <is>
          <t>Memory, String, and Unmanaged Code</t>
        </is>
      </c>
      <c r="C29" s="16" t="n"/>
      <c r="D29" s="16" t="n"/>
      <c r="E29" s="16" t="n"/>
      <c r="F29" s="16" t="n"/>
      <c r="G29" s="16" t="n"/>
      <c r="H29" s="16" t="n"/>
    </row>
    <row r="30" ht="30" customHeight="1">
      <c r="A30" s="17" t="inlineStr">
        <is>
          <t>V1.4</t>
        </is>
      </c>
      <c r="B30" s="17" t="inlineStr">
        <is>
          <t>Memory, String, and Unmanaged Code</t>
        </is>
      </c>
      <c r="C30" s="18" t="inlineStr">
        <is>
          <t>V1.4.1</t>
        </is>
      </c>
      <c r="D30" s="19" t="inlineStr">
        <is>
          <t>Verify that the application uses memory-safe string, safer memory copy and pointer arithmetic to detect or prevent stack, buffer, or heap overflows.</t>
        </is>
      </c>
      <c r="E30" s="20" t="n">
        <v>2</v>
      </c>
      <c r="F30" s="21" t="inlineStr">
        <is>
          <t>Not Applicable</t>
        </is>
      </c>
      <c r="G30" s="27" t="inlineStr">
        <is>
          <t xml:space="preserve">Java é memory-safe por design </t>
        </is>
      </c>
      <c r="H30" s="19" t="n"/>
    </row>
    <row r="31" ht="30" customHeight="1">
      <c r="A31" s="22" t="inlineStr">
        <is>
          <t>V1.4</t>
        </is>
      </c>
      <c r="B31" s="22" t="inlineStr">
        <is>
          <t>Memory, String, and Unmanaged Code</t>
        </is>
      </c>
      <c r="C31" s="23" t="inlineStr">
        <is>
          <t>V1.4.2</t>
        </is>
      </c>
      <c r="D31" s="24" t="inlineStr">
        <is>
          <t>Verify that sign, range, and input validation techniques are used to prevent integer overflows.</t>
        </is>
      </c>
      <c r="E31" s="20" t="n">
        <v>2</v>
      </c>
      <c r="F31" s="21" t="inlineStr">
        <is>
          <t>Not Started</t>
        </is>
      </c>
      <c r="G31" s="27" t="inlineStr">
        <is>
          <t xml:space="preserve">Validar quantidades e preços de orders </t>
        </is>
      </c>
      <c r="H31" s="27" t="inlineStr">
        <is>
          <t xml:space="preserve">SDR06 / TC24 </t>
        </is>
      </c>
    </row>
    <row r="32" ht="30" customHeight="1">
      <c r="A32" s="17" t="inlineStr">
        <is>
          <t>V1.4</t>
        </is>
      </c>
      <c r="B32" s="17" t="inlineStr">
        <is>
          <t>Memory, String, and Unmanaged Code</t>
        </is>
      </c>
      <c r="C32" s="18" t="inlineStr">
        <is>
          <t>V1.4.3</t>
        </is>
      </c>
      <c r="D32" s="19" t="inlineStr">
        <is>
          <t>Verify that dynamically allocated memory and resources are released, and that references or pointers to freed memory are removed or set to null to prevent dangling pointers and use-after-free vulnerabilities.</t>
        </is>
      </c>
      <c r="E32" s="20" t="n">
        <v>2</v>
      </c>
      <c r="F32" s="21" t="inlineStr">
        <is>
          <t>Not Applicable</t>
        </is>
      </c>
      <c r="G32" s="27" t="inlineStr">
        <is>
          <t xml:space="preserve">Java GC gere memória automaticamente </t>
        </is>
      </c>
      <c r="H32" s="19" t="n"/>
    </row>
    <row r="33" ht="18" customHeight="1">
      <c r="A33" s="16" t="inlineStr">
        <is>
          <t>V1.5</t>
        </is>
      </c>
      <c r="B33" s="16" t="inlineStr">
        <is>
          <t>Safe Deserialization</t>
        </is>
      </c>
      <c r="C33" s="16" t="n"/>
      <c r="D33" s="16" t="n"/>
      <c r="E33" s="16" t="n"/>
      <c r="F33" s="16" t="n"/>
      <c r="G33" s="16" t="n"/>
      <c r="H33" s="16" t="n"/>
    </row>
    <row r="34" ht="30" customHeight="1">
      <c r="A34" s="17" t="inlineStr">
        <is>
          <t>V1.5</t>
        </is>
      </c>
      <c r="B34" s="17" t="inlineStr">
        <is>
          <t>Safe Deserialization</t>
        </is>
      </c>
      <c r="C34" s="18" t="inlineStr">
        <is>
          <t>V1.5.1</t>
        </is>
      </c>
      <c r="D34" s="19" t="inlineStr">
        <is>
          <t>Verify that the application configures XML parsers to use a restrictive configuration and that unsafe features such as resolving external entities are disabled to prevent XML eXternal Entity (XXE) attacks.</t>
        </is>
      </c>
      <c r="E34" s="25" t="n">
        <v>1</v>
      </c>
      <c r="F34" s="21" t="inlineStr">
        <is>
          <t>Not Applicable</t>
        </is>
      </c>
      <c r="G34" s="27" t="inlineStr">
        <is>
          <t xml:space="preserve">Sem XML — API usa JSON exclusivamente </t>
        </is>
      </c>
      <c r="H34" s="19" t="n"/>
    </row>
    <row r="35" ht="30" customHeight="1">
      <c r="A35" s="22" t="inlineStr">
        <is>
          <t>V1.5</t>
        </is>
      </c>
      <c r="B35" s="22" t="inlineStr">
        <is>
          <t>Safe Deserialization</t>
        </is>
      </c>
      <c r="C35" s="23" t="inlineStr">
        <is>
          <t>V1.5.2</t>
        </is>
      </c>
      <c r="D35" s="24"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20" t="n">
        <v>2</v>
      </c>
      <c r="F35" s="21" t="inlineStr">
        <is>
          <t>Not Started</t>
        </is>
      </c>
      <c r="G35" s="27" t="inlineStr">
        <is>
          <t xml:space="preserve">Jackson com DTOs estritos; sem polimorfismo inseguro </t>
        </is>
      </c>
      <c r="H35" s="27" t="inlineStr">
        <is>
          <t xml:space="preserve">SDR07 / TC06 </t>
        </is>
      </c>
    </row>
    <row r="36" ht="30" customHeight="1">
      <c r="A36" s="17" t="inlineStr">
        <is>
          <t>V1.5</t>
        </is>
      </c>
      <c r="B36" s="17" t="inlineStr">
        <is>
          <t>Safe Deserialization</t>
        </is>
      </c>
      <c r="C36" s="18" t="inlineStr">
        <is>
          <t>V1.5.3</t>
        </is>
      </c>
      <c r="D36" s="19"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6" t="n">
        <v>3</v>
      </c>
      <c r="F36" s="21" t="inlineStr">
        <is>
          <t>Not Started</t>
        </is>
      </c>
      <c r="G36" s="27" t="inlineStr">
        <is>
          <t xml:space="preserve">ObjectMapper único em toda a aplicação </t>
        </is>
      </c>
      <c r="H36" s="19"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H13" sqref="H13"/>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V2.1</t>
        </is>
      </c>
      <c r="B2" s="16" t="inlineStr">
        <is>
          <t>Validation and Business Logic Documentation</t>
        </is>
      </c>
      <c r="C2" s="16" t="n"/>
      <c r="D2" s="16" t="n"/>
      <c r="E2" s="16" t="n"/>
      <c r="F2" s="16" t="n"/>
      <c r="G2" s="16" t="n"/>
      <c r="H2" s="16" t="n"/>
    </row>
    <row r="3" ht="30" customHeight="1">
      <c r="A3" s="17" t="inlineStr">
        <is>
          <t>V2.1</t>
        </is>
      </c>
      <c r="B3" s="17" t="inlineStr">
        <is>
          <t>Validation and Business Logic Documentation</t>
        </is>
      </c>
      <c r="C3" s="18" t="inlineStr">
        <is>
          <t>V2.1.1</t>
        </is>
      </c>
      <c r="D3" s="19"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5" t="n">
        <v>1</v>
      </c>
      <c r="F3" s="21" t="inlineStr">
        <is>
          <t>Not Started</t>
        </is>
      </c>
      <c r="G3" s="27" t="inlineStr">
        <is>
          <t xml:space="preserve">Definidas em analysis.md SDR06; validação por schema no API boundary </t>
        </is>
      </c>
      <c r="H3" s="27" t="inlineStr">
        <is>
          <t xml:space="preserve">SDR06 / TC24 </t>
        </is>
      </c>
    </row>
    <row r="4" ht="30" customHeight="1">
      <c r="A4" s="22" t="inlineStr">
        <is>
          <t>V2.1</t>
        </is>
      </c>
      <c r="B4" s="22" t="inlineStr">
        <is>
          <t>Validation and Business Logic Documentation</t>
        </is>
      </c>
      <c r="C4" s="23" t="inlineStr">
        <is>
          <t>V2.1.2</t>
        </is>
      </c>
      <c r="D4" s="24" t="inlineStr">
        <is>
          <t>Verify that the application's documentation defines how to validate the logical and contextual consistency of combined data items, such as checking that suburb and ZIP code match.</t>
        </is>
      </c>
      <c r="E4" s="20" t="n">
        <v>2</v>
      </c>
      <c r="F4" s="21" t="inlineStr">
        <is>
          <t>Not Started</t>
        </is>
      </c>
      <c r="G4" s="27" t="inlineStr">
        <is>
          <t xml:space="preserve">Business rules documentadas: order date futura, prato disponível no menu </t>
        </is>
      </c>
      <c r="H4" s="27" t="inlineStr">
        <is>
          <t>SDR06</t>
        </is>
      </c>
    </row>
    <row r="5" ht="30" customHeight="1">
      <c r="A5" s="17" t="inlineStr">
        <is>
          <t>V2.1</t>
        </is>
      </c>
      <c r="B5" s="17" t="inlineStr">
        <is>
          <t>Validation and Business Logic Documentation</t>
        </is>
      </c>
      <c r="C5" s="18" t="inlineStr">
        <is>
          <t>V2.1.3</t>
        </is>
      </c>
      <c r="D5" s="19" t="inlineStr">
        <is>
          <t>Verify that expectations for business logic limits and validations are documented, including both per-user and globally across the application.</t>
        </is>
      </c>
      <c r="E5" s="20" t="n">
        <v>2</v>
      </c>
      <c r="F5" s="21" t="inlineStr">
        <is>
          <t>Not Started</t>
        </is>
      </c>
      <c r="G5" s="27" t="inlineStr">
        <is>
          <t xml:space="preserve">Rate limits (SDR04), saldo mínimo (FR17b), max orders por conta </t>
        </is>
      </c>
      <c r="H5" s="27" t="inlineStr">
        <is>
          <t xml:space="preserve">SDR04 / FR17b </t>
        </is>
      </c>
    </row>
    <row r="6" ht="18" customHeight="1">
      <c r="A6" s="16" t="inlineStr">
        <is>
          <t>V2.2</t>
        </is>
      </c>
      <c r="B6" s="16" t="inlineStr">
        <is>
          <t>Input Validation</t>
        </is>
      </c>
      <c r="C6" s="16" t="n"/>
      <c r="D6" s="16" t="n"/>
      <c r="E6" s="16" t="n"/>
      <c r="F6" s="16" t="n"/>
      <c r="G6" s="16" t="n"/>
      <c r="H6" s="16" t="n"/>
    </row>
    <row r="7" ht="30" customHeight="1">
      <c r="A7" s="17" t="inlineStr">
        <is>
          <t>V2.2</t>
        </is>
      </c>
      <c r="B7" s="17" t="inlineStr">
        <is>
          <t>Input Validation</t>
        </is>
      </c>
      <c r="C7" s="18" t="inlineStr">
        <is>
          <t>V2.2.1</t>
        </is>
      </c>
      <c r="D7" s="19"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5" t="n">
        <v>1</v>
      </c>
      <c r="F7" s="21" t="inlineStr">
        <is>
          <t>Not Started</t>
        </is>
      </c>
      <c r="G7" s="27" t="inlineStr">
        <is>
          <t xml:space="preserve">Allowlist validation no API boundary </t>
        </is>
      </c>
      <c r="H7" s="27" t="inlineStr">
        <is>
          <t xml:space="preserve">SDR06 / TC24 </t>
        </is>
      </c>
    </row>
    <row r="8" ht="30" customHeight="1">
      <c r="A8" s="22" t="inlineStr">
        <is>
          <t>V2.2</t>
        </is>
      </c>
      <c r="B8" s="22" t="inlineStr">
        <is>
          <t>Input Validation</t>
        </is>
      </c>
      <c r="C8" s="23" t="inlineStr">
        <is>
          <t>V2.2.2</t>
        </is>
      </c>
      <c r="D8" s="24" t="inlineStr">
        <is>
          <t>Verify that the application is designed to enforce input validation at a trusted service layer. While client-side validation improves usability and should be encouraged, it must not be relied upon as a security control.</t>
        </is>
      </c>
      <c r="E8" s="25" t="n">
        <v>1</v>
      </c>
      <c r="F8" s="21" t="inlineStr">
        <is>
          <t>Not Started</t>
        </is>
      </c>
      <c r="G8" s="27" t="inlineStr">
        <is>
          <t xml:space="preserve">Validação na camada de serviço, não apenas no HTTP layer </t>
        </is>
      </c>
      <c r="H8" s="27" t="inlineStr">
        <is>
          <t xml:space="preserve">SDR06, SDR02 / TC24 </t>
        </is>
      </c>
    </row>
    <row r="9" ht="30" customHeight="1">
      <c r="A9" s="17" t="inlineStr">
        <is>
          <t>V2.2</t>
        </is>
      </c>
      <c r="B9" s="17" t="inlineStr">
        <is>
          <t>Input Validation</t>
        </is>
      </c>
      <c r="C9" s="18" t="inlineStr">
        <is>
          <t>V2.2.3</t>
        </is>
      </c>
      <c r="D9" s="19" t="inlineStr">
        <is>
          <t>Verify that the application ensures that combinations of related data items are reasonable according to the pre-defined rules.</t>
        </is>
      </c>
      <c r="E9" s="20" t="n">
        <v>2</v>
      </c>
      <c r="F9" s="21" t="inlineStr">
        <is>
          <t>Not Started</t>
        </is>
      </c>
      <c r="G9" s="27" t="inlineStr">
        <is>
          <t xml:space="preserve">Ex: dish ID deve pertencer ao menu do dia da order </t>
        </is>
      </c>
      <c r="H9" s="27" t="inlineStr">
        <is>
          <t xml:space="preserve">SDR06 / TC11 </t>
        </is>
      </c>
    </row>
    <row r="10" ht="18" customHeight="1">
      <c r="A10" s="16" t="inlineStr">
        <is>
          <t>V2.3</t>
        </is>
      </c>
      <c r="B10" s="16" t="inlineStr">
        <is>
          <t>Business Logic Security</t>
        </is>
      </c>
      <c r="C10" s="16" t="n"/>
      <c r="D10" s="16" t="n"/>
      <c r="E10" s="16" t="n"/>
      <c r="F10" s="16" t="n"/>
      <c r="G10" s="16" t="n"/>
      <c r="H10" s="16" t="n"/>
    </row>
    <row r="11" ht="30" customHeight="1">
      <c r="A11" s="17" t="inlineStr">
        <is>
          <t>V2.3</t>
        </is>
      </c>
      <c r="B11" s="17" t="inlineStr">
        <is>
          <t>Business Logic Security</t>
        </is>
      </c>
      <c r="C11" s="18" t="inlineStr">
        <is>
          <t>V2.3.1</t>
        </is>
      </c>
      <c r="D11" s="19" t="inlineStr">
        <is>
          <t>Verify that the application will only process business logic flows for the same user in the expected sequential step order and without skipping steps.</t>
        </is>
      </c>
      <c r="E11" s="25" t="n">
        <v>1</v>
      </c>
      <c r="F11" s="21" t="inlineStr">
        <is>
          <t>Not Started</t>
        </is>
      </c>
      <c r="G11" s="27" t="inlineStr">
        <is>
          <t xml:space="preserve">Order lifecycle: PENDING → PREPARING → READY → DELIVERED (sem saltos) </t>
        </is>
      </c>
      <c r="H11" s="27" t="inlineStr">
        <is>
          <t>SDR02 / TC14 /TC38</t>
        </is>
      </c>
    </row>
    <row r="12" ht="30" customHeight="1">
      <c r="A12" s="22" t="inlineStr">
        <is>
          <t>V2.3</t>
        </is>
      </c>
      <c r="B12" s="22" t="inlineStr">
        <is>
          <t>Business Logic Security</t>
        </is>
      </c>
      <c r="C12" s="23" t="inlineStr">
        <is>
          <t>V2.3.2</t>
        </is>
      </c>
      <c r="D12" s="24" t="inlineStr">
        <is>
          <t>Verify that business logic limits are implemented per the application's documentation to avoid business logic flaws being exploited.</t>
        </is>
      </c>
      <c r="E12" s="20" t="n">
        <v>2</v>
      </c>
      <c r="F12" s="21" t="inlineStr">
        <is>
          <t>Not Started</t>
        </is>
      </c>
      <c r="G12" s="27" t="inlineStr">
        <is>
          <t xml:space="preserve">Verificação de saldo (FR17b), rate limiting (SDR04) </t>
        </is>
      </c>
      <c r="H12" s="27" t="inlineStr">
        <is>
          <t xml:space="preserve">SDR04 / TC01, TC13 </t>
        </is>
      </c>
    </row>
    <row r="13" ht="30" customHeight="1">
      <c r="A13" s="17" t="inlineStr">
        <is>
          <t>V2.3</t>
        </is>
      </c>
      <c r="B13" s="17" t="inlineStr">
        <is>
          <t>Business Logic Security</t>
        </is>
      </c>
      <c r="C13" s="18" t="inlineStr">
        <is>
          <t>V2.3.3</t>
        </is>
      </c>
      <c r="D13" s="19" t="inlineStr">
        <is>
          <t>Verify that transactions are being used at the business logic level such that either a business logic operation succeeds in its entirety or it is rolled back to the previous correct state.</t>
        </is>
      </c>
      <c r="E13" s="20" t="n">
        <v>2</v>
      </c>
      <c r="F13" s="21" t="inlineStr">
        <is>
          <t>Not Started</t>
        </is>
      </c>
      <c r="G13" s="27" t="inlineStr">
        <is>
          <t xml:space="preserve">Order + dedução de saldo devem ser atómicos (NFR09 ACID) </t>
        </is>
      </c>
      <c r="H13" s="27" t="inlineStr">
        <is>
          <t>NFR09/TC39</t>
        </is>
      </c>
    </row>
    <row r="14" ht="30" customHeight="1">
      <c r="A14" s="22" t="inlineStr">
        <is>
          <t>V2.3</t>
        </is>
      </c>
      <c r="B14" s="22" t="inlineStr">
        <is>
          <t>Business Logic Security</t>
        </is>
      </c>
      <c r="C14" s="23" t="inlineStr">
        <is>
          <t>V2.3.4</t>
        </is>
      </c>
      <c r="D14" s="24" t="inlineStr">
        <is>
          <t>Verify that business logic level locking mechanisms are used to ensure that limited quantity resources (such as theater seats or delivery slots) cannot be double-booked by manipulating the application's logic.</t>
        </is>
      </c>
      <c r="E14" s="20" t="n">
        <v>2</v>
      </c>
      <c r="F14" s="21" t="inlineStr">
        <is>
          <t>Not Started</t>
        </is>
      </c>
      <c r="G14" s="27" t="inlineStr">
        <is>
          <t xml:space="preserve">Pratos em stock limitado; concorrência em orders do mesmo menu </t>
        </is>
      </c>
      <c r="H14" s="27" t="inlineStr">
        <is>
          <t xml:space="preserve">SDR06 </t>
        </is>
      </c>
    </row>
    <row r="15" ht="30" customHeight="1">
      <c r="A15" s="17" t="inlineStr">
        <is>
          <t>V2.3</t>
        </is>
      </c>
      <c r="B15" s="17" t="inlineStr">
        <is>
          <t>Business Logic Security</t>
        </is>
      </c>
      <c r="C15" s="18" t="inlineStr">
        <is>
          <t>V2.3.5</t>
        </is>
      </c>
      <c r="D15" s="19"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6" t="n">
        <v>3</v>
      </c>
      <c r="F15" s="21" t="inlineStr">
        <is>
          <t>Not Applicable</t>
        </is>
      </c>
      <c r="G15" s="27" t="inlineStr">
        <is>
          <t xml:space="preserve">Sistema não prevê aprovação dupla; report generation é single-admin </t>
        </is>
      </c>
      <c r="H15" s="19" t="n"/>
    </row>
    <row r="16" ht="18" customHeight="1">
      <c r="A16" s="16" t="inlineStr">
        <is>
          <t>V2.4</t>
        </is>
      </c>
      <c r="B16" s="16" t="inlineStr">
        <is>
          <t>Anti-automation</t>
        </is>
      </c>
      <c r="C16" s="16" t="n"/>
      <c r="D16" s="16" t="n"/>
      <c r="E16" s="16" t="n"/>
      <c r="F16" s="16" t="n"/>
      <c r="G16" s="16" t="n"/>
      <c r="H16" s="16" t="n"/>
    </row>
    <row r="17" ht="30" customHeight="1">
      <c r="A17" s="17" t="inlineStr">
        <is>
          <t>V2.4</t>
        </is>
      </c>
      <c r="B17" s="17" t="inlineStr">
        <is>
          <t>Anti-automation</t>
        </is>
      </c>
      <c r="C17" s="18" t="inlineStr">
        <is>
          <t>V2.4.1</t>
        </is>
      </c>
      <c r="D17" s="19"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20" t="n">
        <v>2</v>
      </c>
      <c r="F17" s="21" t="inlineStr">
        <is>
          <t>Not Started</t>
        </is>
      </c>
      <c r="G17" s="27" t="inlineStr">
        <is>
          <t xml:space="preserve">Rate limiting em login, register, orders, menu </t>
        </is>
      </c>
      <c r="H17" s="27" t="inlineStr">
        <is>
          <t xml:space="preserve">SDR04 / TC01, TC04, TC08, TC13 </t>
        </is>
      </c>
    </row>
    <row r="18" ht="30" customHeight="1">
      <c r="A18" s="22" t="inlineStr">
        <is>
          <t>V2.4</t>
        </is>
      </c>
      <c r="B18" s="22" t="inlineStr">
        <is>
          <t>Anti-automation</t>
        </is>
      </c>
      <c r="C18" s="23" t="inlineStr">
        <is>
          <t>V2.4.2</t>
        </is>
      </c>
      <c r="D18" s="24" t="inlineStr">
        <is>
          <t>Verify that business logic flows require realistic human timing, preventing excessively rapid transaction submissions.</t>
        </is>
      </c>
      <c r="E18" s="26" t="n">
        <v>3</v>
      </c>
      <c r="F18" s="21" t="inlineStr">
        <is>
          <t>Not Started</t>
        </is>
      </c>
      <c r="G18" s="27" t="inlineStr">
        <is>
          <t xml:space="preserve">Throttling temporal em order creation para prevenir submissões em rajada </t>
        </is>
      </c>
      <c r="H18" s="27" t="inlineStr">
        <is>
          <t xml:space="preserve">SDR04 / TC13 </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tabSelected="1" zoomScale="75" zoomScaleNormal="75" workbookViewId="0">
      <pane ySplit="1" topLeftCell="A16" activePane="bottomLeft" state="frozen"/>
      <selection pane="bottomLeft" activeCell="M22" sqref="M22"/>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V3.1</t>
        </is>
      </c>
      <c r="B2" s="16" t="inlineStr">
        <is>
          <t>Web Frontend Security Documentation</t>
        </is>
      </c>
      <c r="C2" s="16" t="n"/>
      <c r="D2" s="16" t="n"/>
      <c r="E2" s="16" t="n"/>
      <c r="F2" s="16" t="n"/>
      <c r="G2" s="16" t="n"/>
      <c r="H2" s="16" t="n"/>
    </row>
    <row r="3" ht="30" customHeight="1">
      <c r="A3" s="17" t="inlineStr">
        <is>
          <t>V3.1</t>
        </is>
      </c>
      <c r="B3" s="17" t="inlineStr">
        <is>
          <t>Web Frontend Security Documentation</t>
        </is>
      </c>
      <c r="C3" s="18" t="inlineStr">
        <is>
          <t>V3.1.1</t>
        </is>
      </c>
      <c r="D3" s="19"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6" t="n">
        <v>3</v>
      </c>
      <c r="F3" s="21" t="inlineStr">
        <is>
          <t>Not Applicable</t>
        </is>
      </c>
      <c r="G3" t="inlineStr">
        <is>
          <t>Backend REST API — no browser context</t>
        </is>
      </c>
      <c r="H3" s="19" t="n"/>
    </row>
    <row r="4" ht="18" customHeight="1">
      <c r="A4" s="16" t="inlineStr">
        <is>
          <t>V3.2</t>
        </is>
      </c>
      <c r="B4" s="16" t="inlineStr">
        <is>
          <t>Unintended Content Interpretation</t>
        </is>
      </c>
      <c r="C4" s="16" t="n"/>
      <c r="D4" s="16" t="n"/>
      <c r="E4" s="16" t="n"/>
      <c r="F4" s="16" t="n"/>
      <c r="G4" s="16" t="n"/>
      <c r="H4" s="16" t="n"/>
    </row>
    <row r="5" ht="30" customHeight="1">
      <c r="A5" s="17" t="inlineStr">
        <is>
          <t>V3.2</t>
        </is>
      </c>
      <c r="B5" s="17" t="inlineStr">
        <is>
          <t>Unintended Content Interpretation</t>
        </is>
      </c>
      <c r="C5" s="18" t="inlineStr">
        <is>
          <t>V3.2.1</t>
        </is>
      </c>
      <c r="D5" s="19"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5" t="n">
        <v>1</v>
      </c>
      <c r="F5" s="21" t="inlineStr">
        <is>
          <t>Not Applicable</t>
        </is>
      </c>
      <c r="G5" s="27" t="inlineStr">
        <is>
          <t>API returns JSON only, no HTML rendering</t>
        </is>
      </c>
      <c r="H5" s="19" t="n"/>
    </row>
    <row r="6" ht="30" customHeight="1">
      <c r="A6" s="22" t="inlineStr">
        <is>
          <t>V3.2</t>
        </is>
      </c>
      <c r="B6" s="22" t="inlineStr">
        <is>
          <t>Unintended Content Interpretation</t>
        </is>
      </c>
      <c r="C6" s="23" t="inlineStr">
        <is>
          <t>V3.2.2</t>
        </is>
      </c>
      <c r="D6" s="24" t="inlineStr">
        <is>
          <t>Verify that content intended to be displayed as text, rather than rendered as HTML, is handled using safe rendering functions (such as createTextNode or textContent) to prevent unintended execution of content such as HTML or JavaScript.</t>
        </is>
      </c>
      <c r="E6" s="25" t="n">
        <v>1</v>
      </c>
      <c r="F6" s="21" t="inlineStr">
        <is>
          <t>Not Applicable</t>
        </is>
      </c>
      <c r="G6" s="27" t="inlineStr">
        <is>
          <t>No HTML output</t>
        </is>
      </c>
      <c r="H6" s="24" t="n"/>
    </row>
    <row r="7" ht="30" customHeight="1">
      <c r="A7" s="17" t="inlineStr">
        <is>
          <t>V3.2</t>
        </is>
      </c>
      <c r="B7" s="17" t="inlineStr">
        <is>
          <t>Unintended Content Interpretation</t>
        </is>
      </c>
      <c r="C7" s="18" t="inlineStr">
        <is>
          <t>V3.2.3</t>
        </is>
      </c>
      <c r="D7" s="19"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6" t="n">
        <v>3</v>
      </c>
      <c r="F7" s="21" t="inlineStr">
        <is>
          <t>Not Applicable</t>
        </is>
      </c>
      <c r="G7" s="27" t="inlineStr">
        <is>
          <t>No client-side JavaScript</t>
        </is>
      </c>
      <c r="H7" s="19" t="n"/>
    </row>
    <row r="8" ht="18" customHeight="1">
      <c r="A8" s="16" t="inlineStr">
        <is>
          <t>V3.3</t>
        </is>
      </c>
      <c r="B8" s="16" t="inlineStr">
        <is>
          <t>Cookie Setup</t>
        </is>
      </c>
      <c r="C8" s="16" t="n"/>
      <c r="D8" s="16" t="n"/>
      <c r="E8" s="16" t="n"/>
      <c r="F8" s="16" t="n"/>
      <c r="G8" s="16" t="n"/>
      <c r="H8" s="16" t="n"/>
    </row>
    <row r="9" ht="30" customHeight="1">
      <c r="A9" s="17" t="inlineStr">
        <is>
          <t>V3.3</t>
        </is>
      </c>
      <c r="B9" s="17" t="inlineStr">
        <is>
          <t>Cookie Setup</t>
        </is>
      </c>
      <c r="C9" s="18" t="inlineStr">
        <is>
          <t>V3.3.1</t>
        </is>
      </c>
      <c r="D9" s="19" t="inlineStr">
        <is>
          <t>Verify that cookies have the 'Secure' attribute set, and if the '\__Host-' prefix is not used for the cookie name, the '__Secure-' prefix must be used for the cookie name.</t>
        </is>
      </c>
      <c r="E9" s="25" t="n">
        <v>1</v>
      </c>
      <c r="F9" s="21" t="inlineStr">
        <is>
          <t>Not Applicable</t>
        </is>
      </c>
      <c r="G9" s="27" t="inlineStr">
        <is>
          <t>JWT in Authorization header, no cookies used</t>
        </is>
      </c>
      <c r="H9" s="19" t="n"/>
    </row>
    <row r="10" ht="30" customHeight="1">
      <c r="A10" s="22" t="inlineStr">
        <is>
          <t>V3.3</t>
        </is>
      </c>
      <c r="B10" s="22" t="inlineStr">
        <is>
          <t>Cookie Setup</t>
        </is>
      </c>
      <c r="C10" s="23" t="inlineStr">
        <is>
          <t>V3.3.2</t>
        </is>
      </c>
      <c r="D10" s="24" t="inlineStr">
        <is>
          <t>Verify that each cookie's 'SameSite' attribute value is set according to the purpose of the cookie, to limit exposure to user interface redress attacks and browser-based request forgery attacks, commonly known as cross-site request forgery (CSRF).</t>
        </is>
      </c>
      <c r="E10" s="20" t="n">
        <v>2</v>
      </c>
      <c r="F10" s="21" t="inlineStr">
        <is>
          <t>Not Applicable</t>
        </is>
      </c>
      <c r="G10" s="27" t="inlineStr">
        <is>
          <t>No cookies used</t>
        </is>
      </c>
      <c r="H10" s="24" t="n"/>
    </row>
    <row r="11" ht="30" customHeight="1">
      <c r="A11" s="17" t="inlineStr">
        <is>
          <t>V3.3</t>
        </is>
      </c>
      <c r="B11" s="17" t="inlineStr">
        <is>
          <t>Cookie Setup</t>
        </is>
      </c>
      <c r="C11" s="18" t="inlineStr">
        <is>
          <t>V3.3.3</t>
        </is>
      </c>
      <c r="D11" s="19" t="inlineStr">
        <is>
          <t>Verify that cookies have the '__Host-' prefix for the cookie name unless they are explicitly designed to be shared with other hosts.</t>
        </is>
      </c>
      <c r="E11" s="20" t="n">
        <v>2</v>
      </c>
      <c r="F11" s="21" t="inlineStr">
        <is>
          <t>Not Applicable</t>
        </is>
      </c>
      <c r="G11" s="27" t="inlineStr">
        <is>
          <t>No cookies used</t>
        </is>
      </c>
      <c r="H11" s="19" t="n"/>
    </row>
    <row r="12" ht="30" customHeight="1">
      <c r="A12" s="22" t="inlineStr">
        <is>
          <t>V3.3</t>
        </is>
      </c>
      <c r="B12" s="22" t="inlineStr">
        <is>
          <t>Cookie Setup</t>
        </is>
      </c>
      <c r="C12" s="23" t="inlineStr">
        <is>
          <t>V3.3.4</t>
        </is>
      </c>
      <c r="D12" s="24"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20" t="n">
        <v>2</v>
      </c>
      <c r="F12" s="21" t="inlineStr">
        <is>
          <t>Not Applicable</t>
        </is>
      </c>
      <c r="G12" s="27" t="inlineStr">
        <is>
          <t>No cookies used</t>
        </is>
      </c>
      <c r="H12" s="24" t="n"/>
    </row>
    <row r="13" ht="30" customHeight="1">
      <c r="A13" s="17" t="inlineStr">
        <is>
          <t>V3.3</t>
        </is>
      </c>
      <c r="B13" s="17" t="inlineStr">
        <is>
          <t>Cookie Setup</t>
        </is>
      </c>
      <c r="C13" s="18" t="inlineStr">
        <is>
          <t>V3.3.5</t>
        </is>
      </c>
      <c r="D13" s="19"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6" t="n">
        <v>3</v>
      </c>
      <c r="F13" s="21" t="inlineStr">
        <is>
          <t>Not Applicable</t>
        </is>
      </c>
      <c r="G13" s="27" t="inlineStr">
        <is>
          <t>No cookies used</t>
        </is>
      </c>
      <c r="H13" s="19" t="n"/>
    </row>
    <row r="14" ht="18" customHeight="1">
      <c r="A14" s="16" t="inlineStr">
        <is>
          <t>V3.4</t>
        </is>
      </c>
      <c r="B14" s="16" t="inlineStr">
        <is>
          <t>Browser Security Mechanism Headers</t>
        </is>
      </c>
      <c r="C14" s="16" t="n"/>
      <c r="D14" s="16" t="n"/>
      <c r="E14" s="16" t="n"/>
      <c r="F14" s="16" t="n"/>
      <c r="G14" s="16" t="n"/>
      <c r="H14" s="16" t="n"/>
    </row>
    <row r="15" ht="30" customHeight="1">
      <c r="A15" s="17" t="inlineStr">
        <is>
          <t>V3.4</t>
        </is>
      </c>
      <c r="B15" s="17" t="inlineStr">
        <is>
          <t>Browser Security Mechanism Headers</t>
        </is>
      </c>
      <c r="C15" s="18" t="inlineStr">
        <is>
          <t>V3.4.1</t>
        </is>
      </c>
      <c r="D15" s="19"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5" t="n">
        <v>1</v>
      </c>
      <c r="F15" s="21" t="inlineStr">
        <is>
          <t>Not Started</t>
        </is>
      </c>
      <c r="G15" s="27" t="inlineStr">
        <is>
          <t>Covered by SDR10/SDR11</t>
        </is>
      </c>
      <c r="H15" s="19" t="n"/>
    </row>
    <row r="16" ht="30" customHeight="1">
      <c r="A16" s="22" t="inlineStr">
        <is>
          <t>V3.4</t>
        </is>
      </c>
      <c r="B16" s="22" t="inlineStr">
        <is>
          <t>Browser Security Mechanism Headers</t>
        </is>
      </c>
      <c r="C16" s="23" t="inlineStr">
        <is>
          <t>V3.4.2</t>
        </is>
      </c>
      <c r="D16" s="24"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5" t="n">
        <v>1</v>
      </c>
      <c r="F16" s="21" t="inlineStr">
        <is>
          <t>Not Started</t>
        </is>
      </c>
      <c r="G16" s="27" t="inlineStr">
        <is>
          <t>Relevant for API consumers</t>
        </is>
      </c>
      <c r="H16" s="24" t="n"/>
    </row>
    <row r="17" ht="30" customHeight="1">
      <c r="A17" s="17" t="inlineStr">
        <is>
          <t>V3.4</t>
        </is>
      </c>
      <c r="B17" s="17" t="inlineStr">
        <is>
          <t>Browser Security Mechanism Headers</t>
        </is>
      </c>
      <c r="C17" s="18" t="inlineStr">
        <is>
          <t>V3.4.3</t>
        </is>
      </c>
      <c r="D17" s="19"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20" t="n">
        <v>2</v>
      </c>
      <c r="F17" s="21" t="inlineStr">
        <is>
          <t>Not Applicable</t>
        </is>
      </c>
      <c r="G17" s="27" t="inlineStr">
        <is>
          <t>No HTML responses</t>
        </is>
      </c>
      <c r="H17" s="19" t="n"/>
    </row>
    <row r="18" ht="30" customHeight="1">
      <c r="A18" s="22" t="inlineStr">
        <is>
          <t>V3.4</t>
        </is>
      </c>
      <c r="B18" s="22" t="inlineStr">
        <is>
          <t>Browser Security Mechanism Headers</t>
        </is>
      </c>
      <c r="C18" s="23" t="inlineStr">
        <is>
          <t>V3.4.4</t>
        </is>
      </c>
      <c r="D18" s="24"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20" t="n">
        <v>2</v>
      </c>
      <c r="F18" s="21" t="inlineStr">
        <is>
          <t>Not Started</t>
        </is>
      </c>
      <c r="G18" s="24" t="inlineStr">
        <is>
          <t>Covered by SDR11</t>
        </is>
      </c>
      <c r="H18" s="24" t="n"/>
    </row>
    <row r="19" ht="30" customHeight="1">
      <c r="A19" s="17" t="inlineStr">
        <is>
          <t>V3.4</t>
        </is>
      </c>
      <c r="B19" s="17" t="inlineStr">
        <is>
          <t>Browser Security Mechanism Headers</t>
        </is>
      </c>
      <c r="C19" s="18" t="inlineStr">
        <is>
          <t>V3.4.5</t>
        </is>
      </c>
      <c r="D19" s="19"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20" t="n">
        <v>2</v>
      </c>
      <c r="F19" s="21" t="inlineStr">
        <is>
          <t>Not Applicable</t>
        </is>
      </c>
      <c r="G19" s="19" t="inlineStr">
        <is>
          <t>No browser navigation</t>
        </is>
      </c>
      <c r="H19" s="19" t="n"/>
    </row>
    <row r="20" ht="30" customHeight="1">
      <c r="A20" s="22" t="inlineStr">
        <is>
          <t>V3.4</t>
        </is>
      </c>
      <c r="B20" s="22" t="inlineStr">
        <is>
          <t>Browser Security Mechanism Headers</t>
        </is>
      </c>
      <c r="C20" s="23" t="inlineStr">
        <is>
          <t>V3.4.6</t>
        </is>
      </c>
      <c r="D20" s="24"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20" t="n">
        <v>2</v>
      </c>
      <c r="F20" s="21" t="inlineStr">
        <is>
          <t>Not Applicable</t>
        </is>
      </c>
      <c r="G20" s="24" t="inlineStr">
        <is>
          <t>No HTML responses</t>
        </is>
      </c>
      <c r="H20" s="24" t="n"/>
    </row>
    <row r="21" ht="30" customHeight="1">
      <c r="A21" s="17" t="inlineStr">
        <is>
          <t>V3.4</t>
        </is>
      </c>
      <c r="B21" s="17" t="inlineStr">
        <is>
          <t>Browser Security Mechanism Headers</t>
        </is>
      </c>
      <c r="C21" s="18" t="inlineStr">
        <is>
          <t>V3.4.7</t>
        </is>
      </c>
      <c r="D21" s="19" t="inlineStr">
        <is>
          <t>Verify that the Content-Security-Policy header field specifies a location to report violations.</t>
        </is>
      </c>
      <c r="E21" s="26" t="n">
        <v>3</v>
      </c>
      <c r="F21" s="21" t="inlineStr">
        <is>
          <t>Not Applicable</t>
        </is>
      </c>
      <c r="G21" s="19" t="inlineStr">
        <is>
          <t>No HTML responses</t>
        </is>
      </c>
      <c r="H21" s="19" t="n"/>
    </row>
    <row r="22" ht="30" customHeight="1">
      <c r="A22" s="22" t="inlineStr">
        <is>
          <t>V3.4</t>
        </is>
      </c>
      <c r="B22" s="22" t="inlineStr">
        <is>
          <t>Browser Security Mechanism Headers</t>
        </is>
      </c>
      <c r="C22" s="23" t="inlineStr">
        <is>
          <t>V3.4.8</t>
        </is>
      </c>
      <c r="D22" s="24"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6" t="n">
        <v>3</v>
      </c>
      <c r="F22" s="21" t="inlineStr">
        <is>
          <t>Not Applicable</t>
        </is>
      </c>
      <c r="G22" s="24" t="inlineStr">
        <is>
          <t>No HTML responses</t>
        </is>
      </c>
      <c r="H22" s="24" t="n"/>
    </row>
    <row r="23" ht="18" customHeight="1">
      <c r="A23" s="16" t="inlineStr">
        <is>
          <t>V3.5</t>
        </is>
      </c>
      <c r="B23" s="16" t="inlineStr">
        <is>
          <t>Browser Origin Separation</t>
        </is>
      </c>
      <c r="C23" s="16" t="n"/>
      <c r="D23" s="16" t="n"/>
      <c r="E23" s="16" t="n"/>
      <c r="F23" s="16" t="n"/>
      <c r="G23" s="16" t="n"/>
      <c r="H23" s="16" t="n"/>
    </row>
    <row r="24" ht="30" customHeight="1">
      <c r="A24" s="17" t="inlineStr">
        <is>
          <t>V3.5</t>
        </is>
      </c>
      <c r="B24" s="17" t="inlineStr">
        <is>
          <t>Browser Origin Separation</t>
        </is>
      </c>
      <c r="C24" s="18" t="inlineStr">
        <is>
          <t>V3.5.1</t>
        </is>
      </c>
      <c r="D24" s="19"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5" t="n">
        <v>1</v>
      </c>
      <c r="F24" s="21" t="inlineStr">
        <is>
          <t>Not Started</t>
        </is>
      </c>
      <c r="G24" s="19" t="inlineStr">
        <is>
          <t>Relevant if web clients consume the API</t>
        </is>
      </c>
      <c r="H24" s="19" t="n"/>
    </row>
    <row r="25" ht="30" customHeight="1">
      <c r="A25" s="22" t="inlineStr">
        <is>
          <t>V3.5</t>
        </is>
      </c>
      <c r="B25" s="22" t="inlineStr">
        <is>
          <t>Browser Origin Separation</t>
        </is>
      </c>
      <c r="C25" s="23" t="inlineStr">
        <is>
          <t>V3.5.2</t>
        </is>
      </c>
      <c r="D25" s="24"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5" t="n">
        <v>1</v>
      </c>
      <c r="F25" s="21" t="inlineStr">
        <is>
          <t>Not Started</t>
        </is>
      </c>
      <c r="G25" s="24" t="inlineStr">
        <is>
          <t>Relevant if web clients consume the API</t>
        </is>
      </c>
      <c r="H25" s="24" t="n"/>
    </row>
    <row r="26" ht="30" customHeight="1">
      <c r="A26" s="17" t="inlineStr">
        <is>
          <t>V3.5</t>
        </is>
      </c>
      <c r="B26" s="17" t="inlineStr">
        <is>
          <t>Browser Origin Separation</t>
        </is>
      </c>
      <c r="C26" s="18" t="inlineStr">
        <is>
          <t>V3.5.3</t>
        </is>
      </c>
      <c r="D26" s="19"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5" t="n">
        <v>1</v>
      </c>
      <c r="F26" s="21" t="inlineStr">
        <is>
          <t>Not Started</t>
        </is>
      </c>
      <c r="G26" s="19" t="inlineStr">
        <is>
          <t>REST API uses correct HTTP verbs</t>
        </is>
      </c>
      <c r="H26" s="19" t="n"/>
    </row>
    <row r="27" ht="30" customHeight="1">
      <c r="A27" s="22" t="inlineStr">
        <is>
          <t>V3.5</t>
        </is>
      </c>
      <c r="B27" s="22" t="inlineStr">
        <is>
          <t>Browser Origin Separation</t>
        </is>
      </c>
      <c r="C27" s="23" t="inlineStr">
        <is>
          <t>V3.5.4</t>
        </is>
      </c>
      <c r="D27" s="24"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20" t="n">
        <v>2</v>
      </c>
      <c r="F27" s="21" t="inlineStr">
        <is>
          <t>Not Applicable</t>
        </is>
      </c>
      <c r="G27" s="24" t="inlineStr">
        <is>
          <t>Single backend service</t>
        </is>
      </c>
      <c r="H27" s="24" t="n"/>
    </row>
    <row r="28" ht="30" customHeight="1">
      <c r="A28" s="17" t="inlineStr">
        <is>
          <t>V3.5</t>
        </is>
      </c>
      <c r="B28" s="17" t="inlineStr">
        <is>
          <t>Browser Origin Separation</t>
        </is>
      </c>
      <c r="C28" s="18" t="inlineStr">
        <is>
          <t>V3.5.5</t>
        </is>
      </c>
      <c r="D28" s="19" t="inlineStr">
        <is>
          <t>Verify that messages received by the postMessage interface are discarded if the origin of the message is not trusted, or if the syntax of the message is invalid.</t>
        </is>
      </c>
      <c r="E28" s="20" t="n">
        <v>2</v>
      </c>
      <c r="F28" s="21" t="inlineStr">
        <is>
          <t>Not Applicable</t>
        </is>
      </c>
      <c r="G28" s="19" t="inlineStr">
        <is>
          <t>No postMessage used</t>
        </is>
      </c>
      <c r="H28" s="19" t="n"/>
    </row>
    <row r="29" ht="30" customHeight="1">
      <c r="A29" s="22" t="inlineStr">
        <is>
          <t>V3.5</t>
        </is>
      </c>
      <c r="B29" s="22" t="inlineStr">
        <is>
          <t>Browser Origin Separation</t>
        </is>
      </c>
      <c r="C29" s="23" t="inlineStr">
        <is>
          <t>V3.5.6</t>
        </is>
      </c>
      <c r="D29" s="24" t="inlineStr">
        <is>
          <t>Verify that JSONP functionality is not enabled anywhere across the application to avoid Cross-Site Script Inclusion (XSSI) attacks.</t>
        </is>
      </c>
      <c r="E29" s="26" t="n">
        <v>3</v>
      </c>
      <c r="F29" s="21" t="inlineStr">
        <is>
          <t>Not Applicable</t>
        </is>
      </c>
      <c r="G29" s="24" t="inlineStr">
        <is>
          <t>No JSONP — REST/JSON API only</t>
        </is>
      </c>
      <c r="H29" s="24" t="n"/>
    </row>
    <row r="30" ht="30" customHeight="1">
      <c r="A30" s="17" t="inlineStr">
        <is>
          <t>V3.5</t>
        </is>
      </c>
      <c r="B30" s="17" t="inlineStr">
        <is>
          <t>Browser Origin Separation</t>
        </is>
      </c>
      <c r="C30" s="18" t="inlineStr">
        <is>
          <t>V3.5.7</t>
        </is>
      </c>
      <c r="D30" s="19" t="inlineStr">
        <is>
          <t>Verify that data requiring authorization is not included in script resource responses, like JavaScript files, to prevent Cross-Site Script Inclusion (XSSI) attacks.</t>
        </is>
      </c>
      <c r="E30" s="26" t="n">
        <v>3</v>
      </c>
      <c r="F30" s="21" t="inlineStr">
        <is>
          <t>Not Applicable</t>
        </is>
      </c>
      <c r="G30" s="19" t="inlineStr">
        <is>
          <t>No script resources served</t>
        </is>
      </c>
      <c r="H30" s="19" t="n"/>
    </row>
    <row r="31" ht="30" customHeight="1">
      <c r="A31" s="22" t="inlineStr">
        <is>
          <t>V3.5</t>
        </is>
      </c>
      <c r="B31" s="22" t="inlineStr">
        <is>
          <t>Browser Origin Separation</t>
        </is>
      </c>
      <c r="C31" s="23" t="inlineStr">
        <is>
          <t>V3.5.8</t>
        </is>
      </c>
      <c r="D31" s="24"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6" t="n">
        <v>3</v>
      </c>
      <c r="F31" s="21" t="inlineStr">
        <is>
          <t>Not Applicable</t>
        </is>
      </c>
      <c r="G31" s="24" t="inlineStr">
        <is>
          <t>No browser-rendered pages</t>
        </is>
      </c>
      <c r="H31" s="24" t="n"/>
    </row>
    <row r="32" ht="18" customHeight="1">
      <c r="A32" s="16" t="inlineStr">
        <is>
          <t>V3.6</t>
        </is>
      </c>
      <c r="B32" s="16" t="inlineStr">
        <is>
          <t>External Resource Integrity</t>
        </is>
      </c>
      <c r="C32" s="16" t="n"/>
      <c r="D32" s="16" t="n"/>
      <c r="E32" s="16" t="n"/>
      <c r="F32" s="16" t="n"/>
      <c r="G32" s="16" t="n"/>
      <c r="H32" s="16" t="n"/>
    </row>
    <row r="33" ht="30" customHeight="1">
      <c r="A33" s="17" t="inlineStr">
        <is>
          <t>V3.6</t>
        </is>
      </c>
      <c r="B33" s="17" t="inlineStr">
        <is>
          <t>External Resource Integrity</t>
        </is>
      </c>
      <c r="C33" s="18" t="inlineStr">
        <is>
          <t>V3.6.1</t>
        </is>
      </c>
      <c r="D33" s="19"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6" t="n">
        <v>3</v>
      </c>
      <c r="F33" s="21" t="inlineStr">
        <is>
          <t>Not Applicable</t>
        </is>
      </c>
      <c r="G33" s="19" t="inlineStr">
        <is>
          <t>No client-side assets</t>
        </is>
      </c>
      <c r="H33" s="19" t="n"/>
    </row>
    <row r="34" ht="18" customHeight="1">
      <c r="A34" s="16" t="inlineStr">
        <is>
          <t>V3.7</t>
        </is>
      </c>
      <c r="B34" s="16" t="inlineStr">
        <is>
          <t>Other Browser Security Considerations</t>
        </is>
      </c>
      <c r="C34" s="16" t="n"/>
      <c r="D34" s="16" t="n"/>
      <c r="E34" s="16" t="n"/>
      <c r="F34" s="16" t="n"/>
      <c r="G34" s="16" t="n"/>
      <c r="H34" s="16" t="n"/>
    </row>
    <row r="35" ht="30" customHeight="1">
      <c r="A35" s="17" t="inlineStr">
        <is>
          <t>V3.7</t>
        </is>
      </c>
      <c r="B35" s="17" t="inlineStr">
        <is>
          <t>Other Browser Security Considerations</t>
        </is>
      </c>
      <c r="C35" s="18" t="inlineStr">
        <is>
          <t>V3.7.1</t>
        </is>
      </c>
      <c r="D35" s="19"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20" t="n">
        <v>2</v>
      </c>
      <c r="F35" s="21" t="inlineStr">
        <is>
          <t>Not Applicable</t>
        </is>
      </c>
      <c r="G35" s="19" t="inlineStr">
        <is>
          <t>No client-side technologies</t>
        </is>
      </c>
      <c r="H35" s="19" t="n"/>
    </row>
    <row r="36" ht="30" customHeight="1">
      <c r="A36" s="22" t="inlineStr">
        <is>
          <t>V3.7</t>
        </is>
      </c>
      <c r="B36" s="22" t="inlineStr">
        <is>
          <t>Other Browser Security Considerations</t>
        </is>
      </c>
      <c r="C36" s="23" t="inlineStr">
        <is>
          <t>V3.7.2</t>
        </is>
      </c>
      <c r="D36" s="24" t="inlineStr">
        <is>
          <t>Verify that the application will only automatically redirect the user to a different hostname or domain (which is not controlled by the application) where the destination appears on an allowlist.</t>
        </is>
      </c>
      <c r="E36" s="20" t="n">
        <v>2</v>
      </c>
      <c r="F36" s="21" t="inlineStr">
        <is>
          <t>Not Applicable</t>
        </is>
      </c>
      <c r="G36" s="24" t="inlineStr">
        <is>
          <t>No redirects to external URLs</t>
        </is>
      </c>
      <c r="H36" s="24" t="n"/>
    </row>
    <row r="37" ht="30" customHeight="1">
      <c r="A37" s="17" t="inlineStr">
        <is>
          <t>V3.7</t>
        </is>
      </c>
      <c r="B37" s="17" t="inlineStr">
        <is>
          <t>Other Browser Security Considerations</t>
        </is>
      </c>
      <c r="C37" s="18" t="inlineStr">
        <is>
          <t>V3.7.3</t>
        </is>
      </c>
      <c r="D37" s="19" t="inlineStr">
        <is>
          <t>Verify that the application shows a notification when the user is being redirected to a URL outside of the application's control, with an option to cancel the navigation.</t>
        </is>
      </c>
      <c r="E37" s="26" t="n">
        <v>3</v>
      </c>
      <c r="F37" s="21" t="inlineStr">
        <is>
          <t>Not Applicable</t>
        </is>
      </c>
      <c r="G37" s="19" t="inlineStr">
        <is>
          <t>No external redirects</t>
        </is>
      </c>
      <c r="H37" s="19" t="n"/>
    </row>
    <row r="38" ht="30" customHeight="1">
      <c r="A38" s="22" t="inlineStr">
        <is>
          <t>V3.7</t>
        </is>
      </c>
      <c r="B38" s="22" t="inlineStr">
        <is>
          <t>Other Browser Security Considerations</t>
        </is>
      </c>
      <c r="C38" s="23" t="inlineStr">
        <is>
          <t>V3.7.4</t>
        </is>
      </c>
      <c r="D38" s="24"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6" t="n">
        <v>3</v>
      </c>
      <c r="F38" s="21" t="inlineStr">
        <is>
          <t>Not Applicable</t>
        </is>
      </c>
      <c r="G38" s="24" t="inlineStr">
        <is>
          <t>Infrastructure concern, out of scope</t>
        </is>
      </c>
      <c r="H38" s="24" t="n"/>
    </row>
    <row r="39" ht="30" customHeight="1">
      <c r="A39" s="17" t="inlineStr">
        <is>
          <t>V3.7</t>
        </is>
      </c>
      <c r="B39" s="17" t="inlineStr">
        <is>
          <t>Other Browser Security Considerations</t>
        </is>
      </c>
      <c r="C39" s="18" t="inlineStr">
        <is>
          <t>V3.7.5</t>
        </is>
      </c>
      <c r="D39" s="19" t="inlineStr">
        <is>
          <t>Verify that the application behaves as documented (such as warning the user or blocking access) if the browser used to access the application does not support the expected security features.</t>
        </is>
      </c>
      <c r="E39" s="26" t="n">
        <v>3</v>
      </c>
      <c r="F39" s="21" t="inlineStr">
        <is>
          <t>Not Applicable</t>
        </is>
      </c>
      <c r="G39" s="19" t="inlineStr">
        <is>
          <t>No browser-facing interface</t>
        </is>
      </c>
      <c r="H39" s="19"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V4.1</t>
        </is>
      </c>
      <c r="B2" s="16" t="inlineStr">
        <is>
          <t>Generic Web Service Security</t>
        </is>
      </c>
      <c r="C2" s="16" t="n"/>
      <c r="D2" s="16" t="n"/>
      <c r="E2" s="16" t="n"/>
      <c r="F2" s="16" t="n"/>
      <c r="G2" s="16" t="n"/>
      <c r="H2" s="16" t="n"/>
    </row>
    <row r="3" ht="30" customHeight="1">
      <c r="A3" s="17" t="inlineStr">
        <is>
          <t>V4.1</t>
        </is>
      </c>
      <c r="B3" s="17" t="inlineStr">
        <is>
          <t>Generic Web Service Security</t>
        </is>
      </c>
      <c r="C3" s="18" t="inlineStr">
        <is>
          <t>V4.1.1</t>
        </is>
      </c>
      <c r="D3" s="19"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5" t="n">
        <v>1</v>
      </c>
      <c r="F3" s="21" t="inlineStr">
        <is>
          <t>Not Started</t>
        </is>
      </c>
      <c r="G3" s="19" t="inlineStr">
        <is>
          <t>Relevant — Spring Boot REST API must set Content-Type: application/json</t>
        </is>
      </c>
      <c r="H3" s="19" t="n"/>
    </row>
    <row r="4" ht="30" customHeight="1">
      <c r="A4" s="22" t="inlineStr">
        <is>
          <t>V4.1</t>
        </is>
      </c>
      <c r="B4" s="22" t="inlineStr">
        <is>
          <t>Generic Web Service Security</t>
        </is>
      </c>
      <c r="C4" s="23" t="inlineStr">
        <is>
          <t>V4.1.2</t>
        </is>
      </c>
      <c r="D4" s="24"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20" t="n">
        <v>2</v>
      </c>
      <c r="F4" s="21" t="inlineStr">
        <is>
          <t>Not Applicable</t>
        </is>
      </c>
      <c r="G4" s="24" t="inlineStr">
        <is>
          <t>Pure REST API — no user-facing browser endpoints</t>
        </is>
      </c>
      <c r="H4" s="24" t="n"/>
    </row>
    <row r="5" ht="30" customHeight="1">
      <c r="A5" s="17" t="inlineStr">
        <is>
          <t>V4.1</t>
        </is>
      </c>
      <c r="B5" s="17" t="inlineStr">
        <is>
          <t>Generic Web Service Security</t>
        </is>
      </c>
      <c r="C5" s="18" t="inlineStr">
        <is>
          <t>V4.1.3</t>
        </is>
      </c>
      <c r="D5" s="19"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20" t="n">
        <v>2</v>
      </c>
      <c r="F5" s="21" t="inlineStr">
        <is>
          <t>Not Started</t>
        </is>
      </c>
      <c r="G5" s="19" t="inlineStr">
        <is>
          <t>Relevant if behind a load balancer/proxy (Docker deployment)</t>
        </is>
      </c>
      <c r="H5" s="19" t="n"/>
    </row>
    <row r="6" ht="30" customHeight="1">
      <c r="A6" s="22" t="inlineStr">
        <is>
          <t>V4.1</t>
        </is>
      </c>
      <c r="B6" s="22" t="inlineStr">
        <is>
          <t>Generic Web Service Security</t>
        </is>
      </c>
      <c r="C6" s="23" t="inlineStr">
        <is>
          <t>V4.1.4</t>
        </is>
      </c>
      <c r="D6" s="24" t="inlineStr">
        <is>
          <t>Verify that only HTTP methods that are explicitly supported by the application or its API (including OPTIONS during preflight requests) can be used and that unused methods are blocked.</t>
        </is>
      </c>
      <c r="E6" s="26" t="n">
        <v>3</v>
      </c>
      <c r="F6" s="21" t="inlineStr">
        <is>
          <t>Not Started</t>
        </is>
      </c>
      <c r="G6" s="24" t="inlineStr">
        <is>
          <t>Spring Security should restrict methods per endpoint</t>
        </is>
      </c>
      <c r="H6" s="24" t="n"/>
    </row>
    <row r="7" ht="30" customHeight="1">
      <c r="A7" s="17" t="inlineStr">
        <is>
          <t>V4.1</t>
        </is>
      </c>
      <c r="B7" s="17" t="inlineStr">
        <is>
          <t>Generic Web Service Security</t>
        </is>
      </c>
      <c r="C7" s="18" t="inlineStr">
        <is>
          <t>V4.1.5</t>
        </is>
      </c>
      <c r="D7" s="19" t="inlineStr">
        <is>
          <t>Verify that per-message digital signatures are used to provide additional assurance on top of transport protections for requests or transactions which are highly sensitive or which traverse a number of systems.</t>
        </is>
      </c>
      <c r="E7" s="26" t="n">
        <v>3</v>
      </c>
      <c r="F7" s="21" t="inlineStr">
        <is>
          <t>Not Applicable</t>
        </is>
      </c>
      <c r="G7" s="19" t="inlineStr">
        <is>
          <t>JWT already provides request-level authentication; per-message signing not required</t>
        </is>
      </c>
      <c r="H7" s="19" t="n"/>
    </row>
    <row r="8" ht="18" customHeight="1">
      <c r="A8" s="16" t="inlineStr">
        <is>
          <t>V4.2</t>
        </is>
      </c>
      <c r="B8" s="16" t="inlineStr">
        <is>
          <t>HTTP Message Structure Validation</t>
        </is>
      </c>
      <c r="C8" s="16" t="n"/>
      <c r="D8" s="16" t="n"/>
      <c r="E8" s="16" t="n"/>
      <c r="F8" s="16" t="n"/>
      <c r="G8" s="16" t="n"/>
      <c r="H8" s="16" t="n"/>
    </row>
    <row r="9" ht="30" customHeight="1">
      <c r="A9" s="17" t="inlineStr">
        <is>
          <t>V4.2</t>
        </is>
      </c>
      <c r="B9" s="17" t="inlineStr">
        <is>
          <t>HTTP Message Structure Validation</t>
        </is>
      </c>
      <c r="C9" s="18" t="inlineStr">
        <is>
          <t>V4.2.1</t>
        </is>
      </c>
      <c r="D9" s="19"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20" t="n">
        <v>2</v>
      </c>
      <c r="F9" s="21" t="inlineStr">
        <is>
          <t>Not Started</t>
        </is>
      </c>
      <c r="G9" s="19" t="inlineStr">
        <is>
          <t>Covered by SDR06 — input validation at API boundary</t>
        </is>
      </c>
      <c r="H9" s="19" t="n"/>
    </row>
    <row r="10" ht="30" customHeight="1">
      <c r="A10" s="22" t="inlineStr">
        <is>
          <t>V4.2</t>
        </is>
      </c>
      <c r="B10" s="22" t="inlineStr">
        <is>
          <t>HTTP Message Structure Validation</t>
        </is>
      </c>
      <c r="C10" s="23" t="inlineStr">
        <is>
          <t>V4.2.2</t>
        </is>
      </c>
      <c r="D10" s="24" t="inlineStr">
        <is>
          <t>Verify that when generating HTTP messages, the Content-Length header field does not conflict with the length of the content as determined by the framing of the HTTP protocol, in order to prevent request smuggling attacks.</t>
        </is>
      </c>
      <c r="E10" s="26" t="n">
        <v>3</v>
      </c>
      <c r="F10" s="21" t="inlineStr">
        <is>
          <t>Not Started</t>
        </is>
      </c>
      <c r="G10" s="24" t="inlineStr">
        <is>
          <t>Spring Boot handles this automatically</t>
        </is>
      </c>
      <c r="H10" s="24" t="n"/>
    </row>
    <row r="11" ht="30" customHeight="1">
      <c r="A11" s="17" t="inlineStr">
        <is>
          <t>V4.2</t>
        </is>
      </c>
      <c r="B11" s="17" t="inlineStr">
        <is>
          <t>HTTP Message Structure Validation</t>
        </is>
      </c>
      <c r="C11" s="18" t="inlineStr">
        <is>
          <t>V4.2.3</t>
        </is>
      </c>
      <c r="D11" s="19" t="inlineStr">
        <is>
          <t>Verify that the application does not send nor accept HTTP/2 or HTTP/3 messages with connection-specific header fields such as Transfer-Encoding to prevent response splitting and header injection attacks.</t>
        </is>
      </c>
      <c r="E11" s="26" t="n">
        <v>3</v>
      </c>
      <c r="F11" s="21" t="inlineStr">
        <is>
          <t>Not Started</t>
        </is>
      </c>
      <c r="G11" s="19" t="inlineStr">
        <is>
          <t>Verify Spring Boot HTTP/2 configuration</t>
        </is>
      </c>
      <c r="H11" s="19" t="n"/>
    </row>
    <row r="12" ht="30" customHeight="1">
      <c r="A12" s="22" t="inlineStr">
        <is>
          <t>V4.2</t>
        </is>
      </c>
      <c r="B12" s="22" t="inlineStr">
        <is>
          <t>HTTP Message Structure Validation</t>
        </is>
      </c>
      <c r="C12" s="23" t="inlineStr">
        <is>
          <t>V4.2.4</t>
        </is>
      </c>
      <c r="D12" s="24" t="inlineStr">
        <is>
          <t>Verify that the application only accepts HTTP/2 and HTTP/3 requests where the header fields and values do not contain any CR (\r), LF (\n), or CRLF (\r\n) sequences, to prevent header injection attacks.</t>
        </is>
      </c>
      <c r="E12" s="26" t="n">
        <v>3</v>
      </c>
      <c r="F12" s="21" t="inlineStr">
        <is>
          <t>Not Started</t>
        </is>
      </c>
      <c r="G12" s="24" t="inlineStr">
        <is>
          <t>Framework-level concern — Spring Boot default behavior</t>
        </is>
      </c>
      <c r="H12" s="24" t="n"/>
    </row>
    <row r="13" ht="30" customHeight="1">
      <c r="A13" s="17" t="inlineStr">
        <is>
          <t>V4.2</t>
        </is>
      </c>
      <c r="B13" s="17" t="inlineStr">
        <is>
          <t>HTTP Message Structure Validation</t>
        </is>
      </c>
      <c r="C13" s="18" t="inlineStr">
        <is>
          <t>V4.2.5</t>
        </is>
      </c>
      <c r="D13" s="19"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6" t="n">
        <v>3</v>
      </c>
      <c r="F13" s="21" t="inlineStr">
        <is>
          <t>Not Started</t>
        </is>
      </c>
      <c r="G13" s="19" t="inlineStr">
        <is>
          <t>Covered by SDR06, SDR07</t>
        </is>
      </c>
      <c r="H13" s="19" t="n"/>
    </row>
    <row r="14" ht="18" customHeight="1">
      <c r="A14" s="16" t="inlineStr">
        <is>
          <t>V4.3</t>
        </is>
      </c>
      <c r="B14" s="16" t="inlineStr">
        <is>
          <t>GraphQL</t>
        </is>
      </c>
      <c r="C14" s="16" t="n"/>
      <c r="D14" s="16" t="n"/>
      <c r="E14" s="16" t="n"/>
      <c r="F14" s="16" t="n"/>
      <c r="G14" s="16" t="n"/>
      <c r="H14" s="16" t="n"/>
    </row>
    <row r="15" ht="30" customHeight="1">
      <c r="A15" s="17" t="inlineStr">
        <is>
          <t>V4.3</t>
        </is>
      </c>
      <c r="B15" s="17" t="inlineStr">
        <is>
          <t>GraphQL</t>
        </is>
      </c>
      <c r="C15" s="18" t="inlineStr">
        <is>
          <t>V4.3.1</t>
        </is>
      </c>
      <c r="D15" s="19" t="inlineStr">
        <is>
          <t>Verify that a query allowlist, depth limiting, amount limiting, or query cost analysis is used to prevent GraphQL or data layer expression Denial of Service (DoS) as a result of expensive, nested queries.</t>
        </is>
      </c>
      <c r="E15" s="20" t="n">
        <v>2</v>
      </c>
      <c r="F15" s="21" t="inlineStr">
        <is>
          <t>Not Applicable</t>
        </is>
      </c>
      <c r="G15" s="19" t="inlineStr">
        <is>
          <t>Coffeetaria uses REST, not GraphQL</t>
        </is>
      </c>
      <c r="H15" s="19" t="n"/>
    </row>
    <row r="16" ht="30" customHeight="1">
      <c r="A16" s="22" t="inlineStr">
        <is>
          <t>V4.3</t>
        </is>
      </c>
      <c r="B16" s="22" t="inlineStr">
        <is>
          <t>GraphQL</t>
        </is>
      </c>
      <c r="C16" s="23" t="inlineStr">
        <is>
          <t>V4.3.2</t>
        </is>
      </c>
      <c r="D16" s="24" t="inlineStr">
        <is>
          <t>Verify that GraphQL introspection queries are disabled in the production environment unless the GraphQL API is meant to be used by other parties.</t>
        </is>
      </c>
      <c r="E16" s="20" t="n">
        <v>2</v>
      </c>
      <c r="F16" s="21" t="inlineStr">
        <is>
          <t>Not Applicable</t>
        </is>
      </c>
      <c r="G16" s="24" t="inlineStr">
        <is>
          <t>No GraphQL used</t>
        </is>
      </c>
      <c r="H16" s="24" t="n"/>
    </row>
    <row r="17" ht="18" customHeight="1">
      <c r="A17" s="16" t="inlineStr">
        <is>
          <t>V4.4</t>
        </is>
      </c>
      <c r="B17" s="16" t="inlineStr">
        <is>
          <t>WebSocket</t>
        </is>
      </c>
      <c r="C17" s="16" t="n"/>
      <c r="D17" s="16" t="n"/>
      <c r="E17" s="16" t="n"/>
      <c r="F17" s="16" t="n"/>
      <c r="G17" s="16" t="n"/>
      <c r="H17" s="16" t="n"/>
    </row>
    <row r="18" ht="30" customHeight="1">
      <c r="A18" s="17" t="inlineStr">
        <is>
          <t>V4.4</t>
        </is>
      </c>
      <c r="B18" s="17" t="inlineStr">
        <is>
          <t>WebSocket</t>
        </is>
      </c>
      <c r="C18" s="18" t="inlineStr">
        <is>
          <t>V4.4.1</t>
        </is>
      </c>
      <c r="D18" s="19" t="inlineStr">
        <is>
          <t>Verify that WebSocket over TLS (WSS) is used for all WebSocket connections.</t>
        </is>
      </c>
      <c r="E18" s="25" t="n">
        <v>1</v>
      </c>
      <c r="F18" s="21" t="inlineStr">
        <is>
          <t>Not Applicable</t>
        </is>
      </c>
      <c r="G18" s="19" t="inlineStr">
        <is>
          <t>No WebSockets used — REST API only</t>
        </is>
      </c>
      <c r="H18" s="19" t="n"/>
    </row>
    <row r="19" ht="30" customHeight="1">
      <c r="A19" s="22" t="inlineStr">
        <is>
          <t>V4.4</t>
        </is>
      </c>
      <c r="B19" s="22" t="inlineStr">
        <is>
          <t>WebSocket</t>
        </is>
      </c>
      <c r="C19" s="23" t="inlineStr">
        <is>
          <t>V4.4.2</t>
        </is>
      </c>
      <c r="D19" s="24" t="inlineStr">
        <is>
          <t>Verify that, during the initial HTTP WebSocket handshake, the Origin header field is checked against a list of origins allowed for the application.</t>
        </is>
      </c>
      <c r="E19" s="20" t="n">
        <v>2</v>
      </c>
      <c r="F19" s="21" t="inlineStr">
        <is>
          <t>Not Applicable</t>
        </is>
      </c>
      <c r="G19" s="24" t="inlineStr">
        <is>
          <t>No WebSockets used</t>
        </is>
      </c>
      <c r="H19" s="24" t="n"/>
    </row>
    <row r="20" ht="30" customHeight="1">
      <c r="A20" s="17" t="inlineStr">
        <is>
          <t>V4.4</t>
        </is>
      </c>
      <c r="B20" s="17" t="inlineStr">
        <is>
          <t>WebSocket</t>
        </is>
      </c>
      <c r="C20" s="18" t="inlineStr">
        <is>
          <t>V4.4.3</t>
        </is>
      </c>
      <c r="D20" s="19" t="inlineStr">
        <is>
          <t>Verify that, if the application's standard session management cannot be used, dedicated tokens are being used for this, which comply with the relevant Session Management security requirements.</t>
        </is>
      </c>
      <c r="E20" s="20" t="n">
        <v>2</v>
      </c>
      <c r="F20" s="21" t="inlineStr">
        <is>
          <t>Not Applicable</t>
        </is>
      </c>
      <c r="G20" s="19" t="inlineStr">
        <is>
          <t>No WebSockets used</t>
        </is>
      </c>
      <c r="H20" s="19" t="n"/>
    </row>
    <row r="21" ht="30" customHeight="1">
      <c r="A21" s="22" t="inlineStr">
        <is>
          <t>V4.4</t>
        </is>
      </c>
      <c r="B21" s="22" t="inlineStr">
        <is>
          <t>WebSocket</t>
        </is>
      </c>
      <c r="C21" s="23" t="inlineStr">
        <is>
          <t>V4.4.4</t>
        </is>
      </c>
      <c r="D21" s="24" t="inlineStr">
        <is>
          <t>Verify that dedicated WebSocket session management tokens are initially obtained or validated through the previously authenticated HTTPS session when transitioning an existing HTTPS session to a WebSocket channel.</t>
        </is>
      </c>
      <c r="E21" s="20" t="n">
        <v>2</v>
      </c>
      <c r="F21" s="21" t="inlineStr">
        <is>
          <t>Not Applicable</t>
        </is>
      </c>
      <c r="G21" s="24" t="inlineStr">
        <is>
          <t>No WebSockets used</t>
        </is>
      </c>
      <c r="H21" s="24"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V5.1</t>
        </is>
      </c>
      <c r="B2" s="16" t="inlineStr">
        <is>
          <t>File Handling Documentation</t>
        </is>
      </c>
      <c r="C2" s="16" t="n"/>
      <c r="D2" s="16" t="n"/>
      <c r="E2" s="16" t="n"/>
      <c r="F2" s="16" t="n"/>
      <c r="G2" s="16" t="n"/>
      <c r="H2" s="16" t="n"/>
    </row>
    <row r="3" ht="30" customHeight="1">
      <c r="A3" s="17" t="inlineStr">
        <is>
          <t>V5.1</t>
        </is>
      </c>
      <c r="B3" s="17" t="inlineStr">
        <is>
          <t>File Handling Documentation</t>
        </is>
      </c>
      <c r="C3" s="18" t="inlineStr">
        <is>
          <t>V5.1.1</t>
        </is>
      </c>
      <c r="D3" s="19"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20" t="n">
        <v>2</v>
      </c>
      <c r="F3" s="21" t="inlineStr">
        <is>
          <t>Not Started</t>
        </is>
      </c>
      <c r="G3" s="19" t="inlineStr">
        <is>
          <t>CSV reports only; allowlist pattern ^[a-zA-Z0-9_\-]+\.csv$ defined in SDR13</t>
        </is>
      </c>
      <c r="H3" s="19" t="inlineStr">
        <is>
          <t>SDR13</t>
        </is>
      </c>
    </row>
    <row r="4" ht="18" customHeight="1">
      <c r="A4" s="16" t="inlineStr">
        <is>
          <t>V5.2</t>
        </is>
      </c>
      <c r="B4" s="16" t="inlineStr">
        <is>
          <t>File Upload and Content</t>
        </is>
      </c>
      <c r="C4" s="16" t="n"/>
      <c r="D4" s="16" t="n"/>
      <c r="E4" s="16" t="n"/>
      <c r="F4" s="16" t="n"/>
      <c r="G4" s="16" t="n"/>
      <c r="H4" s="16" t="n"/>
    </row>
    <row r="5" ht="30" customHeight="1">
      <c r="A5" s="17" t="inlineStr">
        <is>
          <t>V5.2</t>
        </is>
      </c>
      <c r="B5" s="17" t="inlineStr">
        <is>
          <t>File Upload and Content</t>
        </is>
      </c>
      <c r="C5" s="18" t="inlineStr">
        <is>
          <t>V5.2.1</t>
        </is>
      </c>
      <c r="D5" s="19" t="inlineStr">
        <is>
          <t>Verify that the application will only accept files of a size which it can process without causing a loss of performance or a denial of service attack.</t>
        </is>
      </c>
      <c r="E5" s="25" t="n">
        <v>1</v>
      </c>
      <c r="F5" s="21" t="inlineStr">
        <is>
          <t>Not Applicable</t>
        </is>
      </c>
      <c r="G5" s="19" t="inlineStr">
        <is>
          <t>No user file upload — app generates files internally</t>
        </is>
      </c>
      <c r="H5" s="19" t="n"/>
    </row>
    <row r="6" ht="30" customHeight="1">
      <c r="A6" s="22" t="inlineStr">
        <is>
          <t>V5.2</t>
        </is>
      </c>
      <c r="B6" s="22" t="inlineStr">
        <is>
          <t>File Upload and Content</t>
        </is>
      </c>
      <c r="C6" s="23" t="inlineStr">
        <is>
          <t>V5.2.2</t>
        </is>
      </c>
      <c r="D6" s="24"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5" t="n">
        <v>1</v>
      </c>
      <c r="F6" s="21" t="inlineStr">
        <is>
          <t>Not Applicable</t>
        </is>
      </c>
      <c r="G6" s="24" t="inlineStr">
        <is>
          <t>No user file upload</t>
        </is>
      </c>
      <c r="H6" s="24" t="n"/>
    </row>
    <row r="7" ht="30" customHeight="1">
      <c r="A7" s="17" t="inlineStr">
        <is>
          <t>V5.2</t>
        </is>
      </c>
      <c r="B7" s="17" t="inlineStr">
        <is>
          <t>File Upload and Content</t>
        </is>
      </c>
      <c r="C7" s="18" t="inlineStr">
        <is>
          <t>V5.2.3</t>
        </is>
      </c>
      <c r="D7" s="19" t="inlineStr">
        <is>
          <t>Verify that the application checks compressed files (e.g., zip, gz, docx, odt) against maximum allowed uncompressed size and against maximum number of files before uncompressing the file.</t>
        </is>
      </c>
      <c r="E7" s="20" t="n">
        <v>2</v>
      </c>
      <c r="F7" s="21" t="inlineStr">
        <is>
          <t>Not Applicable</t>
        </is>
      </c>
      <c r="G7" s="19" t="inlineStr">
        <is>
          <t>No compressed file handling</t>
        </is>
      </c>
      <c r="H7" s="19" t="n"/>
    </row>
    <row r="8" ht="30" customHeight="1">
      <c r="A8" s="22" t="inlineStr">
        <is>
          <t>V5.2</t>
        </is>
      </c>
      <c r="B8" s="22" t="inlineStr">
        <is>
          <t>File Upload and Content</t>
        </is>
      </c>
      <c r="C8" s="23" t="inlineStr">
        <is>
          <t>V5.2.4</t>
        </is>
      </c>
      <c r="D8" s="24" t="inlineStr">
        <is>
          <t>Verify that a file size quota and maximum number of files per user are enforced to ensure that a single user cannot fill up the storage with too many files, or excessively large files.</t>
        </is>
      </c>
      <c r="E8" s="26" t="n">
        <v>3</v>
      </c>
      <c r="F8" s="21" t="inlineStr">
        <is>
          <t>Not Applicable</t>
        </is>
      </c>
      <c r="G8" s="24" t="inlineStr">
        <is>
          <t>No user file upload</t>
        </is>
      </c>
      <c r="H8" s="24" t="n"/>
    </row>
    <row r="9" ht="30" customHeight="1">
      <c r="A9" s="17" t="inlineStr">
        <is>
          <t>V5.2</t>
        </is>
      </c>
      <c r="B9" s="17" t="inlineStr">
        <is>
          <t>File Upload and Content</t>
        </is>
      </c>
      <c r="C9" s="18" t="inlineStr">
        <is>
          <t>V5.2.5</t>
        </is>
      </c>
      <c r="D9" s="19" t="inlineStr">
        <is>
          <t>Verify that the application does not allow uploading compressed files containing symlinks unless this is specifically required (in which case it will be necessary to enforce an allowlist of the files that can be symlinked to).</t>
        </is>
      </c>
      <c r="E9" s="26" t="n">
        <v>3</v>
      </c>
      <c r="F9" s="21" t="inlineStr">
        <is>
          <t>Not Applicable</t>
        </is>
      </c>
      <c r="G9" s="19" t="inlineStr">
        <is>
          <t>No compressed file handling</t>
        </is>
      </c>
      <c r="H9" s="19" t="n"/>
    </row>
    <row r="10" ht="30" customHeight="1">
      <c r="A10" s="22" t="inlineStr">
        <is>
          <t>V5.2</t>
        </is>
      </c>
      <c r="B10" s="22" t="inlineStr">
        <is>
          <t>File Upload and Content</t>
        </is>
      </c>
      <c r="C10" s="23" t="inlineStr">
        <is>
          <t>V5.2.6</t>
        </is>
      </c>
      <c r="D10" s="24" t="inlineStr">
        <is>
          <t>Verify that the application rejects uploaded images with a pixel size larger than the maximum allowed, to prevent pixel flood attacks.</t>
        </is>
      </c>
      <c r="E10" s="26" t="n">
        <v>3</v>
      </c>
      <c r="F10" s="21" t="inlineStr">
        <is>
          <t>Not Applicable</t>
        </is>
      </c>
      <c r="G10" s="24" t="inlineStr">
        <is>
          <t>No image upload</t>
        </is>
      </c>
      <c r="H10" s="24" t="n"/>
    </row>
    <row r="11" ht="18" customHeight="1">
      <c r="A11" s="16" t="inlineStr">
        <is>
          <t>V5.3</t>
        </is>
      </c>
      <c r="B11" s="16" t="inlineStr">
        <is>
          <t>File Storage</t>
        </is>
      </c>
      <c r="C11" s="16" t="n"/>
      <c r="D11" s="16" t="n"/>
      <c r="E11" s="16" t="n"/>
      <c r="F11" s="16" t="n"/>
      <c r="G11" s="16" t="n"/>
      <c r="H11" s="16" t="n"/>
    </row>
    <row r="12" ht="30" customHeight="1">
      <c r="A12" s="17" t="inlineStr">
        <is>
          <t>V5.3</t>
        </is>
      </c>
      <c r="B12" s="17" t="inlineStr">
        <is>
          <t>File Storage</t>
        </is>
      </c>
      <c r="C12" s="18" t="inlineStr">
        <is>
          <t>V5.3.1</t>
        </is>
      </c>
      <c r="D12" s="19" t="inlineStr">
        <is>
          <t>Verify that files uploaded or generated by untrusted input and stored in a public folder, are not executed as server-side program code when accessed directly with an HTTP request.</t>
        </is>
      </c>
      <c r="E12" s="25" t="n">
        <v>1</v>
      </c>
      <c r="F12" s="21" t="inlineStr">
        <is>
          <t>Not Started</t>
        </is>
      </c>
      <c r="G12" s="19" t="inlineStr">
        <is>
          <t>Generated CSV reports must not be executable; stored in dedicated directory (SDR14)</t>
        </is>
      </c>
      <c r="H12" s="19" t="inlineStr">
        <is>
          <t>SDR14</t>
        </is>
      </c>
    </row>
    <row r="13" ht="30" customHeight="1">
      <c r="A13" s="22" t="inlineStr">
        <is>
          <t>V5.3</t>
        </is>
      </c>
      <c r="B13" s="22" t="inlineStr">
        <is>
          <t>File Storage</t>
        </is>
      </c>
      <c r="C13" s="23" t="inlineStr">
        <is>
          <t>V5.3.2</t>
        </is>
      </c>
      <c r="D13" s="24"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5" t="n">
        <v>1</v>
      </c>
      <c r="F13" s="21" t="inlineStr">
        <is>
          <t>Not Started</t>
        </is>
      </c>
      <c r="G13" s="24" t="inlineStr">
        <is>
          <t>Critical — report retrieval uses user-supplied filename; covered by SDR13 allowlist</t>
        </is>
      </c>
      <c r="H13" s="24" t="inlineStr">
        <is>
          <t>SDR13, TC14, TC15</t>
        </is>
      </c>
    </row>
    <row r="14" ht="30" customHeight="1">
      <c r="A14" s="17" t="inlineStr">
        <is>
          <t>V5.3</t>
        </is>
      </c>
      <c r="B14" s="17" t="inlineStr">
        <is>
          <t>File Storage</t>
        </is>
      </c>
      <c r="C14" s="18" t="inlineStr">
        <is>
          <t>V5.3.3</t>
        </is>
      </c>
      <c r="D14" s="19" t="inlineStr">
        <is>
          <t>Verify that server-side file processing, such as file decompression, ignores user-provided path information to prevent vulnerabilities such as zip slip.</t>
        </is>
      </c>
      <c r="E14" s="26" t="n">
        <v>3</v>
      </c>
      <c r="F14" s="21" t="inlineStr">
        <is>
          <t>Not Applicable</t>
        </is>
      </c>
      <c r="G14" s="19" t="inlineStr">
        <is>
          <t>No file decompression in Coffeetaria</t>
        </is>
      </c>
      <c r="H14" s="19" t="n"/>
    </row>
    <row r="15" ht="18" customHeight="1">
      <c r="A15" s="16" t="inlineStr">
        <is>
          <t>V5.4</t>
        </is>
      </c>
      <c r="B15" s="16" t="inlineStr">
        <is>
          <t>File Download</t>
        </is>
      </c>
      <c r="C15" s="16" t="n"/>
      <c r="D15" s="16" t="n"/>
      <c r="E15" s="16" t="n"/>
      <c r="F15" s="16" t="n"/>
      <c r="G15" s="16" t="n"/>
      <c r="H15" s="16" t="n"/>
    </row>
    <row r="16" ht="30" customHeight="1">
      <c r="A16" s="17" t="inlineStr">
        <is>
          <t>V5.4</t>
        </is>
      </c>
      <c r="B16" s="17" t="inlineStr">
        <is>
          <t>File Download</t>
        </is>
      </c>
      <c r="C16" s="18" t="inlineStr">
        <is>
          <t>V5.4.1</t>
        </is>
      </c>
      <c r="D16" s="19" t="inlineStr">
        <is>
          <t>Verify that the application validates or ignores user-submitted filenames, including in a JSON, JSONP, or URL parameter and specifies a filename in the Content-Disposition header field in the response.</t>
        </is>
      </c>
      <c r="E16" s="20" t="n">
        <v>2</v>
      </c>
      <c r="F16" s="21" t="inlineStr">
        <is>
          <t>Not Started</t>
        </is>
      </c>
      <c r="G16" s="19" t="inlineStr">
        <is>
          <t>Admin submits filename to retrieve report — must be validated against allowlist (SDR13)</t>
        </is>
      </c>
      <c r="H16" s="19" t="inlineStr">
        <is>
          <t>SDR13, TC14, TC15</t>
        </is>
      </c>
    </row>
    <row r="17" ht="30" customHeight="1">
      <c r="A17" s="22" t="inlineStr">
        <is>
          <t>V5.4</t>
        </is>
      </c>
      <c r="B17" s="22" t="inlineStr">
        <is>
          <t>File Download</t>
        </is>
      </c>
      <c r="C17" s="23" t="inlineStr">
        <is>
          <t>V5.4.2</t>
        </is>
      </c>
      <c r="D17" s="24" t="inlineStr">
        <is>
          <t>Verify that file names served (e.g., in HTTP response header fields or email attachments) are encoded or sanitized (e.g., following RFC 6266) to preserve document structure and prevent injection attacks.</t>
        </is>
      </c>
      <c r="E17" s="20" t="n">
        <v>2</v>
      </c>
      <c r="F17" s="21" t="inlineStr">
        <is>
          <t>Not Started</t>
        </is>
      </c>
      <c r="G17" s="24" t="inlineStr">
        <is>
          <t>Content-Disposition header for CSV download must sanitize filename</t>
        </is>
      </c>
      <c r="H17" s="24" t="inlineStr">
        <is>
          <t>SDR13, TC37</t>
        </is>
      </c>
    </row>
    <row r="18" ht="30" customHeight="1">
      <c r="A18" s="17" t="inlineStr">
        <is>
          <t>V5.4</t>
        </is>
      </c>
      <c r="B18" s="17" t="inlineStr">
        <is>
          <t>File Download</t>
        </is>
      </c>
      <c r="C18" s="18" t="inlineStr">
        <is>
          <t>V5.4.3</t>
        </is>
      </c>
      <c r="D18" s="19" t="inlineStr">
        <is>
          <t>Verify that files obtained from untrusted sources are scanned by antivirus scanners to prevent serving of known malicious content.</t>
        </is>
      </c>
      <c r="E18" s="20" t="n">
        <v>2</v>
      </c>
      <c r="F18" s="21" t="inlineStr">
        <is>
          <t>Not Applicable</t>
        </is>
      </c>
      <c r="G18" s="19" t="inlineStr">
        <is>
          <t>Reports are system-generated, not from untrusted external sources</t>
        </is>
      </c>
      <c r="H18" s="19"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V6.1</t>
        </is>
      </c>
      <c r="B2" s="16" t="inlineStr">
        <is>
          <t>Authentication Documentation</t>
        </is>
      </c>
      <c r="C2" s="16" t="n"/>
      <c r="D2" s="16" t="n"/>
      <c r="E2" s="16" t="n"/>
      <c r="F2" s="16" t="n"/>
      <c r="G2" s="16" t="n"/>
      <c r="H2" s="16" t="n"/>
    </row>
    <row r="3" ht="30" customHeight="1">
      <c r="A3" s="17" t="inlineStr">
        <is>
          <t>V6.1</t>
        </is>
      </c>
      <c r="B3" s="17" t="inlineStr">
        <is>
          <t>Authentication Documentation</t>
        </is>
      </c>
      <c r="C3" s="18" t="inlineStr">
        <is>
          <t>V6.1.1</t>
        </is>
      </c>
      <c r="D3" s="19"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5" t="n">
        <v>1</v>
      </c>
      <c r="F3" s="21" t="inlineStr">
        <is>
          <t>Not Started</t>
        </is>
      </c>
      <c r="G3" s="19" t="n"/>
      <c r="H3" s="19" t="n"/>
    </row>
    <row r="4" ht="30" customHeight="1">
      <c r="A4" s="22" t="inlineStr">
        <is>
          <t>V6.1</t>
        </is>
      </c>
      <c r="B4" s="22" t="inlineStr">
        <is>
          <t>Authentication Documentation</t>
        </is>
      </c>
      <c r="C4" s="23" t="inlineStr">
        <is>
          <t>V6.1.2</t>
        </is>
      </c>
      <c r="D4" s="24" t="inlineStr">
        <is>
          <t>Verify that a list of context-specific words is documented in order to prevent their use in passwords. The list could include permutations of organization names, product names, system identifiers, project codenames, department or role names, and similar.</t>
        </is>
      </c>
      <c r="E4" s="20" t="n">
        <v>2</v>
      </c>
      <c r="F4" s="21" t="inlineStr">
        <is>
          <t>Not Started</t>
        </is>
      </c>
      <c r="G4" s="24" t="n"/>
      <c r="H4" s="24" t="n"/>
    </row>
    <row r="5" ht="30" customHeight="1">
      <c r="A5" s="17" t="inlineStr">
        <is>
          <t>V6.1</t>
        </is>
      </c>
      <c r="B5" s="17" t="inlineStr">
        <is>
          <t>Authentication Documentation</t>
        </is>
      </c>
      <c r="C5" s="18" t="inlineStr">
        <is>
          <t>V6.1.3</t>
        </is>
      </c>
      <c r="D5" s="19" t="inlineStr">
        <is>
          <t>Verify that, if the application includes multiple authentication pathways, these are all documented together with the security controls and authentication strength which must be consistently enforced across them.</t>
        </is>
      </c>
      <c r="E5" s="20" t="n">
        <v>2</v>
      </c>
      <c r="F5" s="21" t="inlineStr">
        <is>
          <t>Not Started</t>
        </is>
      </c>
      <c r="G5" s="19" t="n"/>
      <c r="H5" s="19" t="n"/>
    </row>
    <row r="6" ht="18" customHeight="1">
      <c r="A6" s="16" t="inlineStr">
        <is>
          <t>V6.2</t>
        </is>
      </c>
      <c r="B6" s="16" t="inlineStr">
        <is>
          <t>Password Security</t>
        </is>
      </c>
      <c r="C6" s="16" t="n"/>
      <c r="D6" s="16" t="n"/>
      <c r="E6" s="16" t="n"/>
      <c r="F6" s="16" t="n"/>
      <c r="G6" s="16" t="n"/>
      <c r="H6" s="16" t="n"/>
    </row>
    <row r="7" ht="30" customHeight="1">
      <c r="A7" s="17" t="inlineStr">
        <is>
          <t>V6.2</t>
        </is>
      </c>
      <c r="B7" s="17" t="inlineStr">
        <is>
          <t>Password Security</t>
        </is>
      </c>
      <c r="C7" s="18" t="inlineStr">
        <is>
          <t>V6.2.1</t>
        </is>
      </c>
      <c r="D7" s="19" t="inlineStr">
        <is>
          <t>Verify that user set passwords are at least 8 characters in length although a minimum of 15 characters is strongly recommended.</t>
        </is>
      </c>
      <c r="E7" s="25" t="n">
        <v>1</v>
      </c>
      <c r="F7" s="21" t="inlineStr">
        <is>
          <t>Not Started</t>
        </is>
      </c>
      <c r="G7" s="19" t="n"/>
      <c r="H7" s="19" t="n"/>
    </row>
    <row r="8" ht="30" customHeight="1">
      <c r="A8" s="22" t="inlineStr">
        <is>
          <t>V6.2</t>
        </is>
      </c>
      <c r="B8" s="22" t="inlineStr">
        <is>
          <t>Password Security</t>
        </is>
      </c>
      <c r="C8" s="23" t="inlineStr">
        <is>
          <t>V6.2.2</t>
        </is>
      </c>
      <c r="D8" s="24" t="inlineStr">
        <is>
          <t>Verify that users can change their password.</t>
        </is>
      </c>
      <c r="E8" s="25" t="n">
        <v>1</v>
      </c>
      <c r="F8" s="21" t="inlineStr">
        <is>
          <t>Not Started</t>
        </is>
      </c>
      <c r="G8" s="24" t="n"/>
      <c r="H8" s="24" t="n"/>
    </row>
    <row r="9" ht="30" customHeight="1">
      <c r="A9" s="17" t="inlineStr">
        <is>
          <t>V6.2</t>
        </is>
      </c>
      <c r="B9" s="17" t="inlineStr">
        <is>
          <t>Password Security</t>
        </is>
      </c>
      <c r="C9" s="18" t="inlineStr">
        <is>
          <t>V6.2.3</t>
        </is>
      </c>
      <c r="D9" s="19" t="inlineStr">
        <is>
          <t>Verify that password change functionality requires the user's current and new password.</t>
        </is>
      </c>
      <c r="E9" s="25" t="n">
        <v>1</v>
      </c>
      <c r="F9" s="21" t="inlineStr">
        <is>
          <t>Not Started</t>
        </is>
      </c>
      <c r="G9" s="19" t="n"/>
      <c r="H9" s="19" t="n"/>
    </row>
    <row r="10" ht="30" customHeight="1">
      <c r="A10" s="22" t="inlineStr">
        <is>
          <t>V6.2</t>
        </is>
      </c>
      <c r="B10" s="22" t="inlineStr">
        <is>
          <t>Password Security</t>
        </is>
      </c>
      <c r="C10" s="23" t="inlineStr">
        <is>
          <t>V6.2.4</t>
        </is>
      </c>
      <c r="D10" s="24" t="inlineStr">
        <is>
          <t>Verify that passwords submitted during account registration or password change are checked against an available set of, at least, the top 3000 passwords which match the application's password policy, e.g. minimum length.</t>
        </is>
      </c>
      <c r="E10" s="25" t="n">
        <v>1</v>
      </c>
      <c r="F10" s="21" t="inlineStr">
        <is>
          <t>Not Started</t>
        </is>
      </c>
      <c r="G10" s="24" t="n"/>
      <c r="H10" s="24" t="n"/>
    </row>
    <row r="11" ht="30" customHeight="1">
      <c r="A11" s="17" t="inlineStr">
        <is>
          <t>V6.2</t>
        </is>
      </c>
      <c r="B11" s="17" t="inlineStr">
        <is>
          <t>Password Security</t>
        </is>
      </c>
      <c r="C11" s="18" t="inlineStr">
        <is>
          <t>V6.2.5</t>
        </is>
      </c>
      <c r="D11" s="19" t="inlineStr">
        <is>
          <t>Verify that passwords of any composition can be used, without rules limiting the type of characters permitted. There must be no requirement for a minimum number of upper or lower case characters, numbers, or special characters.</t>
        </is>
      </c>
      <c r="E11" s="25" t="n">
        <v>1</v>
      </c>
      <c r="F11" s="21" t="inlineStr">
        <is>
          <t>Not Started</t>
        </is>
      </c>
      <c r="G11" s="19" t="n"/>
      <c r="H11" s="19" t="n"/>
    </row>
    <row r="12" ht="30" customHeight="1">
      <c r="A12" s="22" t="inlineStr">
        <is>
          <t>V6.2</t>
        </is>
      </c>
      <c r="B12" s="22" t="inlineStr">
        <is>
          <t>Password Security</t>
        </is>
      </c>
      <c r="C12" s="23" t="inlineStr">
        <is>
          <t>V6.2.6</t>
        </is>
      </c>
      <c r="D12" s="24" t="inlineStr">
        <is>
          <t>Verify that password input fields use type=password to mask the entry. Applications may allow the user to temporarily view the entire masked password, or the last typed character of the password.</t>
        </is>
      </c>
      <c r="E12" s="25" t="n">
        <v>1</v>
      </c>
      <c r="F12" s="21" t="inlineStr">
        <is>
          <t>Not Started</t>
        </is>
      </c>
      <c r="G12" s="24" t="n"/>
      <c r="H12" s="24" t="n"/>
    </row>
    <row r="13" ht="30" customHeight="1">
      <c r="A13" s="17" t="inlineStr">
        <is>
          <t>V6.2</t>
        </is>
      </c>
      <c r="B13" s="17" t="inlineStr">
        <is>
          <t>Password Security</t>
        </is>
      </c>
      <c r="C13" s="18" t="inlineStr">
        <is>
          <t>V6.2.7</t>
        </is>
      </c>
      <c r="D13" s="19" t="inlineStr">
        <is>
          <t>Verify that "paste" functionality, browser password helpers, and external password managers are permitted.</t>
        </is>
      </c>
      <c r="E13" s="25" t="n">
        <v>1</v>
      </c>
      <c r="F13" s="21" t="inlineStr">
        <is>
          <t>Not Started</t>
        </is>
      </c>
      <c r="G13" s="19" t="n"/>
      <c r="H13" s="19" t="n"/>
    </row>
    <row r="14" ht="30" customHeight="1">
      <c r="A14" s="22" t="inlineStr">
        <is>
          <t>V6.2</t>
        </is>
      </c>
      <c r="B14" s="22" t="inlineStr">
        <is>
          <t>Password Security</t>
        </is>
      </c>
      <c r="C14" s="23" t="inlineStr">
        <is>
          <t>V6.2.8</t>
        </is>
      </c>
      <c r="D14" s="24" t="inlineStr">
        <is>
          <t>Verify that the application verifies the user's password exactly as received from the user, without any modifications such as truncation or case transformation.</t>
        </is>
      </c>
      <c r="E14" s="25" t="n">
        <v>1</v>
      </c>
      <c r="F14" s="21" t="inlineStr">
        <is>
          <t>Not Started</t>
        </is>
      </c>
      <c r="G14" s="24" t="n"/>
      <c r="H14" s="24" t="n"/>
    </row>
    <row r="15" ht="30" customHeight="1">
      <c r="A15" s="17" t="inlineStr">
        <is>
          <t>V6.2</t>
        </is>
      </c>
      <c r="B15" s="17" t="inlineStr">
        <is>
          <t>Password Security</t>
        </is>
      </c>
      <c r="C15" s="18" t="inlineStr">
        <is>
          <t>V6.2.9</t>
        </is>
      </c>
      <c r="D15" s="19" t="inlineStr">
        <is>
          <t>Verify that passwords of at least 64 characters are permitted.</t>
        </is>
      </c>
      <c r="E15" s="20" t="n">
        <v>2</v>
      </c>
      <c r="F15" s="21" t="inlineStr">
        <is>
          <t>Not Started</t>
        </is>
      </c>
      <c r="G15" s="19" t="n"/>
      <c r="H15" s="19" t="n"/>
    </row>
    <row r="16" ht="30" customHeight="1">
      <c r="A16" s="22" t="inlineStr">
        <is>
          <t>V6.2</t>
        </is>
      </c>
      <c r="B16" s="22" t="inlineStr">
        <is>
          <t>Password Security</t>
        </is>
      </c>
      <c r="C16" s="23" t="inlineStr">
        <is>
          <t>V6.2.10</t>
        </is>
      </c>
      <c r="D16" s="24" t="inlineStr">
        <is>
          <t>Verify that a user's password stays valid until it is discovered to be compromised or the user rotates it. The application must not require periodic credential rotation.</t>
        </is>
      </c>
      <c r="E16" s="20" t="n">
        <v>2</v>
      </c>
      <c r="F16" s="21" t="inlineStr">
        <is>
          <t>Not Started</t>
        </is>
      </c>
      <c r="G16" s="24" t="n"/>
      <c r="H16" s="24" t="n"/>
    </row>
    <row r="17" ht="30" customHeight="1">
      <c r="A17" s="17" t="inlineStr">
        <is>
          <t>V6.2</t>
        </is>
      </c>
      <c r="B17" s="17" t="inlineStr">
        <is>
          <t>Password Security</t>
        </is>
      </c>
      <c r="C17" s="18" t="inlineStr">
        <is>
          <t>V6.2.11</t>
        </is>
      </c>
      <c r="D17" s="19" t="inlineStr">
        <is>
          <t>Verify that the documented list of context specific words is used to prevent easy to guess passwords being created.</t>
        </is>
      </c>
      <c r="E17" s="20" t="n">
        <v>2</v>
      </c>
      <c r="F17" s="21" t="inlineStr">
        <is>
          <t>Not Started</t>
        </is>
      </c>
      <c r="G17" s="19" t="n"/>
      <c r="H17" s="19" t="n"/>
    </row>
    <row r="18" ht="30" customHeight="1">
      <c r="A18" s="22" t="inlineStr">
        <is>
          <t>V6.2</t>
        </is>
      </c>
      <c r="B18" s="22" t="inlineStr">
        <is>
          <t>Password Security</t>
        </is>
      </c>
      <c r="C18" s="23" t="inlineStr">
        <is>
          <t>V6.2.12</t>
        </is>
      </c>
      <c r="D18" s="24" t="inlineStr">
        <is>
          <t>Verify that passwords submitted during account registration or password changes are checked against a set of breached passwords.</t>
        </is>
      </c>
      <c r="E18" s="20" t="n">
        <v>2</v>
      </c>
      <c r="F18" s="21" t="inlineStr">
        <is>
          <t>Not Started</t>
        </is>
      </c>
      <c r="G18" s="24" t="n"/>
      <c r="H18" s="24" t="n"/>
    </row>
    <row r="19" ht="18" customHeight="1">
      <c r="A19" s="16" t="inlineStr">
        <is>
          <t>V6.3</t>
        </is>
      </c>
      <c r="B19" s="16" t="inlineStr">
        <is>
          <t>General Authentication Security</t>
        </is>
      </c>
      <c r="C19" s="16" t="n"/>
      <c r="D19" s="16" t="n"/>
      <c r="E19" s="16" t="n"/>
      <c r="F19" s="16" t="n"/>
      <c r="G19" s="16" t="n"/>
      <c r="H19" s="16" t="n"/>
    </row>
    <row r="20" ht="30" customHeight="1">
      <c r="A20" s="17" t="inlineStr">
        <is>
          <t>V6.3</t>
        </is>
      </c>
      <c r="B20" s="17" t="inlineStr">
        <is>
          <t>General Authentication Security</t>
        </is>
      </c>
      <c r="C20" s="18" t="inlineStr">
        <is>
          <t>V6.3.1</t>
        </is>
      </c>
      <c r="D20" s="19" t="inlineStr">
        <is>
          <t>Verify that controls to prevent attacks such as credential stuffing and password brute force are implemented according to the application's security documentation.</t>
        </is>
      </c>
      <c r="E20" s="25" t="n">
        <v>1</v>
      </c>
      <c r="F20" s="21" t="inlineStr">
        <is>
          <t>Not Started</t>
        </is>
      </c>
      <c r="G20" s="19" t="n"/>
      <c r="H20" s="19" t="n"/>
    </row>
    <row r="21" ht="30" customHeight="1">
      <c r="A21" s="22" t="inlineStr">
        <is>
          <t>V6.3</t>
        </is>
      </c>
      <c r="B21" s="22" t="inlineStr">
        <is>
          <t>General Authentication Security</t>
        </is>
      </c>
      <c r="C21" s="23" t="inlineStr">
        <is>
          <t>V6.3.2</t>
        </is>
      </c>
      <c r="D21" s="24" t="inlineStr">
        <is>
          <t>Verify that default user accounts (e.g., "root", "admin", or "sa") are not present in the application or are disabled.</t>
        </is>
      </c>
      <c r="E21" s="25" t="n">
        <v>1</v>
      </c>
      <c r="F21" s="21" t="inlineStr">
        <is>
          <t>Not Started</t>
        </is>
      </c>
      <c r="G21" s="24" t="n"/>
      <c r="H21" s="24" t="n"/>
    </row>
    <row r="22" ht="30" customHeight="1">
      <c r="A22" s="17" t="inlineStr">
        <is>
          <t>V6.3</t>
        </is>
      </c>
      <c r="B22" s="17" t="inlineStr">
        <is>
          <t>General Authentication Security</t>
        </is>
      </c>
      <c r="C22" s="18" t="inlineStr">
        <is>
          <t>V6.3.3</t>
        </is>
      </c>
      <c r="D22" s="19"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20" t="n">
        <v>2</v>
      </c>
      <c r="F22" s="21" t="inlineStr">
        <is>
          <t>Not Started</t>
        </is>
      </c>
      <c r="G22" s="19" t="n"/>
      <c r="H22" s="19" t="n"/>
    </row>
    <row r="23" ht="30" customHeight="1">
      <c r="A23" s="22" t="inlineStr">
        <is>
          <t>V6.3</t>
        </is>
      </c>
      <c r="B23" s="22" t="inlineStr">
        <is>
          <t>General Authentication Security</t>
        </is>
      </c>
      <c r="C23" s="23" t="inlineStr">
        <is>
          <t>V6.3.4</t>
        </is>
      </c>
      <c r="D23" s="24" t="inlineStr">
        <is>
          <t>Verify that, if the application includes multiple authentication pathways, there are no undocumented pathways and that security controls and authentication strength are enforced consistently.</t>
        </is>
      </c>
      <c r="E23" s="20" t="n">
        <v>2</v>
      </c>
      <c r="F23" s="21" t="inlineStr">
        <is>
          <t>Not Started</t>
        </is>
      </c>
      <c r="G23" s="24" t="n"/>
      <c r="H23" s="24" t="n"/>
    </row>
    <row r="24" ht="30" customHeight="1">
      <c r="A24" s="17" t="inlineStr">
        <is>
          <t>V6.3</t>
        </is>
      </c>
      <c r="B24" s="17" t="inlineStr">
        <is>
          <t>General Authentication Security</t>
        </is>
      </c>
      <c r="C24" s="18" t="inlineStr">
        <is>
          <t>V6.3.5</t>
        </is>
      </c>
      <c r="D24" s="19"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6" t="n">
        <v>3</v>
      </c>
      <c r="F24" s="21" t="inlineStr">
        <is>
          <t>Not Started</t>
        </is>
      </c>
      <c r="G24" s="19" t="n"/>
      <c r="H24" s="19" t="n"/>
    </row>
    <row r="25" ht="30" customHeight="1">
      <c r="A25" s="22" t="inlineStr">
        <is>
          <t>V6.3</t>
        </is>
      </c>
      <c r="B25" s="22" t="inlineStr">
        <is>
          <t>General Authentication Security</t>
        </is>
      </c>
      <c r="C25" s="23" t="inlineStr">
        <is>
          <t>V6.3.6</t>
        </is>
      </c>
      <c r="D25" s="24" t="inlineStr">
        <is>
          <t>Verify that email is not used as either a single-factor or multi-factor authentication mechanism.</t>
        </is>
      </c>
      <c r="E25" s="26" t="n">
        <v>3</v>
      </c>
      <c r="F25" s="21" t="inlineStr">
        <is>
          <t>Not Started</t>
        </is>
      </c>
      <c r="G25" s="24" t="n"/>
      <c r="H25" s="24" t="n"/>
    </row>
    <row r="26" ht="30" customHeight="1">
      <c r="A26" s="17" t="inlineStr">
        <is>
          <t>V6.3</t>
        </is>
      </c>
      <c r="B26" s="17" t="inlineStr">
        <is>
          <t>General Authentication Security</t>
        </is>
      </c>
      <c r="C26" s="18" t="inlineStr">
        <is>
          <t>V6.3.7</t>
        </is>
      </c>
      <c r="D26" s="19" t="inlineStr">
        <is>
          <t>Verify that users are notified after updates to authentication details, such as credential resets or modification of the username or email address.</t>
        </is>
      </c>
      <c r="E26" s="26" t="n">
        <v>3</v>
      </c>
      <c r="F26" s="21" t="inlineStr">
        <is>
          <t>Not Started</t>
        </is>
      </c>
      <c r="G26" s="19" t="n"/>
      <c r="H26" s="19" t="n"/>
    </row>
    <row r="27" ht="30" customHeight="1">
      <c r="A27" s="22" t="inlineStr">
        <is>
          <t>V6.3</t>
        </is>
      </c>
      <c r="B27" s="22" t="inlineStr">
        <is>
          <t>General Authentication Security</t>
        </is>
      </c>
      <c r="C27" s="23" t="inlineStr">
        <is>
          <t>V6.3.8</t>
        </is>
      </c>
      <c r="D27" s="24" t="inlineStr">
        <is>
          <t>Verify that valid users cannot be deduced from failed authentication challenges, such as by basing on error messages, HTTP response codes, or different response times. Registration and forgot password functionality must also have this protection.</t>
        </is>
      </c>
      <c r="E27" s="26" t="n">
        <v>3</v>
      </c>
      <c r="F27" s="21" t="inlineStr">
        <is>
          <t>Not Started</t>
        </is>
      </c>
      <c r="G27" s="24" t="n"/>
      <c r="H27" s="24" t="n"/>
    </row>
    <row r="28" ht="18" customHeight="1">
      <c r="A28" s="16" t="inlineStr">
        <is>
          <t>V6.4</t>
        </is>
      </c>
      <c r="B28" s="16" t="inlineStr">
        <is>
          <t>Authentication Factor Lifecycle and Recovery</t>
        </is>
      </c>
      <c r="C28" s="16" t="n"/>
      <c r="D28" s="16" t="n"/>
      <c r="E28" s="16" t="n"/>
      <c r="F28" s="16" t="n"/>
      <c r="G28" s="16" t="n"/>
      <c r="H28" s="16" t="n"/>
    </row>
    <row r="29" ht="30" customHeight="1">
      <c r="A29" s="17" t="inlineStr">
        <is>
          <t>V6.4</t>
        </is>
      </c>
      <c r="B29" s="17" t="inlineStr">
        <is>
          <t>Authentication Factor Lifecycle and Recovery</t>
        </is>
      </c>
      <c r="C29" s="18" t="inlineStr">
        <is>
          <t>V6.4.1</t>
        </is>
      </c>
      <c r="D29" s="19"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5" t="n">
        <v>1</v>
      </c>
      <c r="F29" s="21" t="inlineStr">
        <is>
          <t>Not Started</t>
        </is>
      </c>
      <c r="G29" s="19" t="n"/>
      <c r="H29" s="19" t="n"/>
    </row>
    <row r="30" ht="30" customHeight="1">
      <c r="A30" s="22" t="inlineStr">
        <is>
          <t>V6.4</t>
        </is>
      </c>
      <c r="B30" s="22" t="inlineStr">
        <is>
          <t>Authentication Factor Lifecycle and Recovery</t>
        </is>
      </c>
      <c r="C30" s="23" t="inlineStr">
        <is>
          <t>V6.4.2</t>
        </is>
      </c>
      <c r="D30" s="24" t="inlineStr">
        <is>
          <t>Verify that password hints or knowledge-based authentication (so-called "secret questions") are not present.</t>
        </is>
      </c>
      <c r="E30" s="25" t="n">
        <v>1</v>
      </c>
      <c r="F30" s="21" t="inlineStr">
        <is>
          <t>Not Started</t>
        </is>
      </c>
      <c r="G30" s="24" t="n"/>
      <c r="H30" s="24" t="n"/>
    </row>
    <row r="31" ht="30" customHeight="1">
      <c r="A31" s="17" t="inlineStr">
        <is>
          <t>V6.4</t>
        </is>
      </c>
      <c r="B31" s="17" t="inlineStr">
        <is>
          <t>Authentication Factor Lifecycle and Recovery</t>
        </is>
      </c>
      <c r="C31" s="18" t="inlineStr">
        <is>
          <t>V6.4.3</t>
        </is>
      </c>
      <c r="D31" s="19" t="inlineStr">
        <is>
          <t>Verify that a secure process for resetting a forgotten password is implemented, that does not bypass any enabled multi-factor authentication mechanisms.</t>
        </is>
      </c>
      <c r="E31" s="20" t="n">
        <v>2</v>
      </c>
      <c r="F31" s="21" t="inlineStr">
        <is>
          <t>Not Started</t>
        </is>
      </c>
      <c r="G31" s="19" t="n"/>
      <c r="H31" s="19" t="n"/>
    </row>
    <row r="32" ht="30" customHeight="1">
      <c r="A32" s="22" t="inlineStr">
        <is>
          <t>V6.4</t>
        </is>
      </c>
      <c r="B32" s="22" t="inlineStr">
        <is>
          <t>Authentication Factor Lifecycle and Recovery</t>
        </is>
      </c>
      <c r="C32" s="23" t="inlineStr">
        <is>
          <t>V6.4.4</t>
        </is>
      </c>
      <c r="D32" s="24" t="inlineStr">
        <is>
          <t>Verify that if a multi-factor authentication factor is lost, evidence of identity proofing is performed at the same level as during enrollment.</t>
        </is>
      </c>
      <c r="E32" s="20" t="n">
        <v>2</v>
      </c>
      <c r="F32" s="21" t="inlineStr">
        <is>
          <t>Not Started</t>
        </is>
      </c>
      <c r="G32" s="24" t="n"/>
      <c r="H32" s="24" t="n"/>
    </row>
    <row r="33" ht="30" customHeight="1">
      <c r="A33" s="17" t="inlineStr">
        <is>
          <t>V6.4</t>
        </is>
      </c>
      <c r="B33" s="17" t="inlineStr">
        <is>
          <t>Authentication Factor Lifecycle and Recovery</t>
        </is>
      </c>
      <c r="C33" s="18" t="inlineStr">
        <is>
          <t>V6.4.5</t>
        </is>
      </c>
      <c r="D33" s="19" t="inlineStr">
        <is>
          <t>Verify that renewal instructions for authentication mechanisms which expire are sent with enough time to be carried out before the old authentication mechanism expires, configuring automated reminders if necessary.</t>
        </is>
      </c>
      <c r="E33" s="26" t="n">
        <v>3</v>
      </c>
      <c r="F33" s="21" t="inlineStr">
        <is>
          <t>Not Started</t>
        </is>
      </c>
      <c r="G33" s="19" t="n"/>
      <c r="H33" s="19" t="n"/>
    </row>
    <row r="34" ht="30" customHeight="1">
      <c r="A34" s="22" t="inlineStr">
        <is>
          <t>V6.4</t>
        </is>
      </c>
      <c r="B34" s="22" t="inlineStr">
        <is>
          <t>Authentication Factor Lifecycle and Recovery</t>
        </is>
      </c>
      <c r="C34" s="23" t="inlineStr">
        <is>
          <t>V6.4.6</t>
        </is>
      </c>
      <c r="D34" s="24" t="inlineStr">
        <is>
          <t>Verify that administrative users can initiate the password reset process for the user, but that this does not allow them to change or choose the user's password. This prevents a situation where they know the user's password.</t>
        </is>
      </c>
      <c r="E34" s="26" t="n">
        <v>3</v>
      </c>
      <c r="F34" s="21" t="inlineStr">
        <is>
          <t>Not Started</t>
        </is>
      </c>
      <c r="G34" s="24" t="n"/>
      <c r="H34" s="24" t="n"/>
    </row>
    <row r="35" ht="18" customHeight="1">
      <c r="A35" s="16" t="inlineStr">
        <is>
          <t>V6.5</t>
        </is>
      </c>
      <c r="B35" s="16" t="inlineStr">
        <is>
          <t>General Multi-factor authentication requirements</t>
        </is>
      </c>
      <c r="C35" s="16" t="n"/>
      <c r="D35" s="16" t="n"/>
      <c r="E35" s="16" t="n"/>
      <c r="F35" s="16" t="n"/>
      <c r="G35" s="16" t="n"/>
      <c r="H35" s="16" t="n"/>
    </row>
    <row r="36" ht="30" customHeight="1">
      <c r="A36" s="17" t="inlineStr">
        <is>
          <t>V6.5</t>
        </is>
      </c>
      <c r="B36" s="17" t="inlineStr">
        <is>
          <t>General Multi-factor authentication requirements</t>
        </is>
      </c>
      <c r="C36" s="18" t="inlineStr">
        <is>
          <t>V6.5.1</t>
        </is>
      </c>
      <c r="D36" s="19" t="inlineStr">
        <is>
          <t>Verify that lookup secrets, out-of-band authentication requests or codes, and time-based one-time passwords (TOTPs) are only successfully usable once.</t>
        </is>
      </c>
      <c r="E36" s="20" t="n">
        <v>2</v>
      </c>
      <c r="F36" s="21" t="inlineStr">
        <is>
          <t>Not Started</t>
        </is>
      </c>
      <c r="G36" s="19" t="n"/>
      <c r="H36" s="19" t="n"/>
    </row>
    <row r="37" ht="30" customHeight="1">
      <c r="A37" s="22" t="inlineStr">
        <is>
          <t>V6.5</t>
        </is>
      </c>
      <c r="B37" s="22" t="inlineStr">
        <is>
          <t>General Multi-factor authentication requirements</t>
        </is>
      </c>
      <c r="C37" s="23" t="inlineStr">
        <is>
          <t>V6.5.2</t>
        </is>
      </c>
      <c r="D37" s="24"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20" t="n">
        <v>2</v>
      </c>
      <c r="F37" s="21" t="inlineStr">
        <is>
          <t>Not Started</t>
        </is>
      </c>
      <c r="G37" s="24" t="n"/>
      <c r="H37" s="24" t="n"/>
    </row>
    <row r="38" ht="30" customHeight="1">
      <c r="A38" s="17" t="inlineStr">
        <is>
          <t>V6.5</t>
        </is>
      </c>
      <c r="B38" s="17" t="inlineStr">
        <is>
          <t>General Multi-factor authentication requirements</t>
        </is>
      </c>
      <c r="C38" s="18" t="inlineStr">
        <is>
          <t>V6.5.3</t>
        </is>
      </c>
      <c r="D38" s="19" t="inlineStr">
        <is>
          <t>Verify that lookup secrets, out-of-band authentication code, and time-based one-time password seeds, are generated using a Cryptographically Secure Pseudorandom Number Generator (CSPRNG) to avoid predictable values.</t>
        </is>
      </c>
      <c r="E38" s="20" t="n">
        <v>2</v>
      </c>
      <c r="F38" s="21" t="inlineStr">
        <is>
          <t>Not Started</t>
        </is>
      </c>
      <c r="G38" s="19" t="n"/>
      <c r="H38" s="19" t="n"/>
    </row>
    <row r="39" ht="30" customHeight="1">
      <c r="A39" s="22" t="inlineStr">
        <is>
          <t>V6.5</t>
        </is>
      </c>
      <c r="B39" s="22" t="inlineStr">
        <is>
          <t>General Multi-factor authentication requirements</t>
        </is>
      </c>
      <c r="C39" s="23" t="inlineStr">
        <is>
          <t>V6.5.4</t>
        </is>
      </c>
      <c r="D39" s="24" t="inlineStr">
        <is>
          <t>Verify that lookup secrets and out-of-band authentication codes have a minimum of 20 bits of entropy (typically 4 random alphanumeric characters or 6 random digits is sufficient).</t>
        </is>
      </c>
      <c r="E39" s="20" t="n">
        <v>2</v>
      </c>
      <c r="F39" s="21" t="inlineStr">
        <is>
          <t>Not Started</t>
        </is>
      </c>
      <c r="G39" s="24" t="n"/>
      <c r="H39" s="24" t="n"/>
    </row>
    <row r="40" ht="30" customHeight="1">
      <c r="A40" s="17" t="inlineStr">
        <is>
          <t>V6.5</t>
        </is>
      </c>
      <c r="B40" s="17" t="inlineStr">
        <is>
          <t>General Multi-factor authentication requirements</t>
        </is>
      </c>
      <c r="C40" s="18" t="inlineStr">
        <is>
          <t>V6.5.5</t>
        </is>
      </c>
      <c r="D40" s="19" t="inlineStr">
        <is>
          <t>Verify that out-of-band authentication requests, codes, or tokens, as well as time-based one-time passwords (TOTPs) have a defined lifetime. Out of band requests must have a maximum lifetime of 10 minutes and for TOTP a maximum lifetime of 30 seconds.</t>
        </is>
      </c>
      <c r="E40" s="20" t="n">
        <v>2</v>
      </c>
      <c r="F40" s="21" t="inlineStr">
        <is>
          <t>Not Started</t>
        </is>
      </c>
      <c r="G40" s="19" t="n"/>
      <c r="H40" s="19" t="n"/>
    </row>
    <row r="41" ht="30" customHeight="1">
      <c r="A41" s="22" t="inlineStr">
        <is>
          <t>V6.5</t>
        </is>
      </c>
      <c r="B41" s="22" t="inlineStr">
        <is>
          <t>General Multi-factor authentication requirements</t>
        </is>
      </c>
      <c r="C41" s="23" t="inlineStr">
        <is>
          <t>V6.5.6</t>
        </is>
      </c>
      <c r="D41" s="24" t="inlineStr">
        <is>
          <t>Verify that any authentication factor (including physical devices) can be revoked in case of theft or other loss.</t>
        </is>
      </c>
      <c r="E41" s="26" t="n">
        <v>3</v>
      </c>
      <c r="F41" s="21" t="inlineStr">
        <is>
          <t>Not Started</t>
        </is>
      </c>
      <c r="G41" s="24" t="n"/>
      <c r="H41" s="24" t="n"/>
    </row>
    <row r="42" ht="30" customHeight="1">
      <c r="A42" s="17" t="inlineStr">
        <is>
          <t>V6.5</t>
        </is>
      </c>
      <c r="B42" s="17" t="inlineStr">
        <is>
          <t>General Multi-factor authentication requirements</t>
        </is>
      </c>
      <c r="C42" s="18" t="inlineStr">
        <is>
          <t>V6.5.7</t>
        </is>
      </c>
      <c r="D42" s="19" t="inlineStr">
        <is>
          <t>Verify that biometric authentication mechanisms are only used as secondary factors together with either something you have or something you know.</t>
        </is>
      </c>
      <c r="E42" s="26" t="n">
        <v>3</v>
      </c>
      <c r="F42" s="21" t="inlineStr">
        <is>
          <t>Not Started</t>
        </is>
      </c>
      <c r="G42" s="19" t="n"/>
      <c r="H42" s="19" t="n"/>
    </row>
    <row r="43" ht="30" customHeight="1">
      <c r="A43" s="22" t="inlineStr">
        <is>
          <t>V6.5</t>
        </is>
      </c>
      <c r="B43" s="22" t="inlineStr">
        <is>
          <t>General Multi-factor authentication requirements</t>
        </is>
      </c>
      <c r="C43" s="23" t="inlineStr">
        <is>
          <t>V6.5.8</t>
        </is>
      </c>
      <c r="D43" s="24" t="inlineStr">
        <is>
          <t>Verify that time-based one-time passwords (TOTPs) are checked based on a time source from a trusted service and not from an untrusted or client provided time.</t>
        </is>
      </c>
      <c r="E43" s="26" t="n">
        <v>3</v>
      </c>
      <c r="F43" s="21" t="inlineStr">
        <is>
          <t>Not Started</t>
        </is>
      </c>
      <c r="G43" s="24" t="n"/>
      <c r="H43" s="24" t="n"/>
    </row>
    <row r="44" ht="18" customHeight="1">
      <c r="A44" s="16" t="inlineStr">
        <is>
          <t>V6.6</t>
        </is>
      </c>
      <c r="B44" s="16" t="inlineStr">
        <is>
          <t>Out-of-Band authentication mechanisms</t>
        </is>
      </c>
      <c r="C44" s="16" t="n"/>
      <c r="D44" s="16" t="n"/>
      <c r="E44" s="16" t="n"/>
      <c r="F44" s="16" t="n"/>
      <c r="G44" s="16" t="n"/>
      <c r="H44" s="16" t="n"/>
    </row>
    <row r="45" ht="30" customHeight="1">
      <c r="A45" s="17" t="inlineStr">
        <is>
          <t>V6.6</t>
        </is>
      </c>
      <c r="B45" s="17" t="inlineStr">
        <is>
          <t>Out-of-Band authentication mechanisms</t>
        </is>
      </c>
      <c r="C45" s="18" t="inlineStr">
        <is>
          <t>V6.6.1</t>
        </is>
      </c>
      <c r="D45" s="19"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20" t="n">
        <v>2</v>
      </c>
      <c r="F45" s="21" t="inlineStr">
        <is>
          <t>Not Started</t>
        </is>
      </c>
      <c r="G45" s="19" t="n"/>
      <c r="H45" s="19" t="n"/>
    </row>
    <row r="46" ht="30" customHeight="1">
      <c r="A46" s="22" t="inlineStr">
        <is>
          <t>V6.6</t>
        </is>
      </c>
      <c r="B46" s="22" t="inlineStr">
        <is>
          <t>Out-of-Band authentication mechanisms</t>
        </is>
      </c>
      <c r="C46" s="23" t="inlineStr">
        <is>
          <t>V6.6.2</t>
        </is>
      </c>
      <c r="D46" s="24" t="inlineStr">
        <is>
          <t>Verify that out-of-band authentication requests, codes, or tokens are bound to the original authentication request for which they were generated and are not usable for a previous or subsequent one.</t>
        </is>
      </c>
      <c r="E46" s="20" t="n">
        <v>2</v>
      </c>
      <c r="F46" s="21" t="inlineStr">
        <is>
          <t>Not Started</t>
        </is>
      </c>
      <c r="G46" s="24" t="n"/>
      <c r="H46" s="24" t="n"/>
    </row>
    <row r="47" ht="30" customHeight="1">
      <c r="A47" s="17" t="inlineStr">
        <is>
          <t>V6.6</t>
        </is>
      </c>
      <c r="B47" s="17" t="inlineStr">
        <is>
          <t>Out-of-Band authentication mechanisms</t>
        </is>
      </c>
      <c r="C47" s="18" t="inlineStr">
        <is>
          <t>V6.6.3</t>
        </is>
      </c>
      <c r="D47" s="19" t="inlineStr">
        <is>
          <t>Verify that a code based out-of-band authentication mechanism is protected against brute force attacks by using rate limiting. Consider also using a code with at least 64 bits of entropy.</t>
        </is>
      </c>
      <c r="E47" s="20" t="n">
        <v>2</v>
      </c>
      <c r="F47" s="21" t="inlineStr">
        <is>
          <t>Not Started</t>
        </is>
      </c>
      <c r="G47" s="19" t="n"/>
      <c r="H47" s="19" t="n"/>
    </row>
    <row r="48" ht="30" customHeight="1">
      <c r="A48" s="22" t="inlineStr">
        <is>
          <t>V6.6</t>
        </is>
      </c>
      <c r="B48" s="22" t="inlineStr">
        <is>
          <t>Out-of-Band authentication mechanisms</t>
        </is>
      </c>
      <c r="C48" s="23" t="inlineStr">
        <is>
          <t>V6.6.4</t>
        </is>
      </c>
      <c r="D48" s="24" t="inlineStr">
        <is>
          <t>Verify that, where push notifications are used for multi-factor authentication, rate limiting is used to prevent push bombing attacks. Number matching may also mitigate this risk.</t>
        </is>
      </c>
      <c r="E48" s="26" t="n">
        <v>3</v>
      </c>
      <c r="F48" s="21" t="inlineStr">
        <is>
          <t>Not Started</t>
        </is>
      </c>
      <c r="G48" s="24" t="n"/>
      <c r="H48" s="24" t="n"/>
    </row>
    <row r="49" ht="18" customHeight="1">
      <c r="A49" s="16" t="inlineStr">
        <is>
          <t>V6.7</t>
        </is>
      </c>
      <c r="B49" s="16" t="inlineStr">
        <is>
          <t>Cryptographic authentication mechanism</t>
        </is>
      </c>
      <c r="C49" s="16" t="n"/>
      <c r="D49" s="16" t="n"/>
      <c r="E49" s="16" t="n"/>
      <c r="F49" s="16" t="n"/>
      <c r="G49" s="16" t="n"/>
      <c r="H49" s="16" t="n"/>
    </row>
    <row r="50" ht="30" customHeight="1">
      <c r="A50" s="17" t="inlineStr">
        <is>
          <t>V6.7</t>
        </is>
      </c>
      <c r="B50" s="17" t="inlineStr">
        <is>
          <t>Cryptographic authentication mechanism</t>
        </is>
      </c>
      <c r="C50" s="18" t="inlineStr">
        <is>
          <t>V6.7.1</t>
        </is>
      </c>
      <c r="D50" s="19" t="inlineStr">
        <is>
          <t>Verify that the certificates used to verify cryptographic authentication assertions are stored in a way protects them from modification.</t>
        </is>
      </c>
      <c r="E50" s="26" t="n">
        <v>3</v>
      </c>
      <c r="F50" s="21" t="inlineStr">
        <is>
          <t>Not Started</t>
        </is>
      </c>
      <c r="G50" s="19" t="n"/>
      <c r="H50" s="19" t="n"/>
    </row>
    <row r="51" ht="30" customHeight="1">
      <c r="A51" s="22" t="inlineStr">
        <is>
          <t>V6.7</t>
        </is>
      </c>
      <c r="B51" s="22" t="inlineStr">
        <is>
          <t>Cryptographic authentication mechanism</t>
        </is>
      </c>
      <c r="C51" s="23" t="inlineStr">
        <is>
          <t>V6.7.2</t>
        </is>
      </c>
      <c r="D51" s="24" t="inlineStr">
        <is>
          <t>Verify that the challenge nonce is at least 64 bits in length, and statistically unique or unique over the lifetime of the cryptographic device.</t>
        </is>
      </c>
      <c r="E51" s="26" t="n">
        <v>3</v>
      </c>
      <c r="F51" s="21" t="inlineStr">
        <is>
          <t>Not Started</t>
        </is>
      </c>
      <c r="G51" s="24" t="n"/>
      <c r="H51" s="24" t="n"/>
    </row>
    <row r="52" ht="18" customHeight="1">
      <c r="A52" s="16" t="inlineStr">
        <is>
          <t>V6.8</t>
        </is>
      </c>
      <c r="B52" s="16" t="inlineStr">
        <is>
          <t>Authentication with an Identity Provider</t>
        </is>
      </c>
      <c r="C52" s="16" t="n"/>
      <c r="D52" s="16" t="n"/>
      <c r="E52" s="16" t="n"/>
      <c r="F52" s="16" t="n"/>
      <c r="G52" s="16" t="n"/>
      <c r="H52" s="16" t="n"/>
    </row>
    <row r="53" ht="30" customHeight="1">
      <c r="A53" s="17" t="inlineStr">
        <is>
          <t>V6.8</t>
        </is>
      </c>
      <c r="B53" s="17" t="inlineStr">
        <is>
          <t>Authentication with an Identity Provider</t>
        </is>
      </c>
      <c r="C53" s="18" t="inlineStr">
        <is>
          <t>V6.8.1</t>
        </is>
      </c>
      <c r="D53" s="19"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20" t="n">
        <v>2</v>
      </c>
      <c r="F53" s="21" t="inlineStr">
        <is>
          <t>Not Started</t>
        </is>
      </c>
      <c r="G53" s="19" t="n"/>
      <c r="H53" s="19" t="n"/>
    </row>
    <row r="54" ht="30" customHeight="1">
      <c r="A54" s="22" t="inlineStr">
        <is>
          <t>V6.8</t>
        </is>
      </c>
      <c r="B54" s="22" t="inlineStr">
        <is>
          <t>Authentication with an Identity Provider</t>
        </is>
      </c>
      <c r="C54" s="23" t="inlineStr">
        <is>
          <t>V6.8.2</t>
        </is>
      </c>
      <c r="D54" s="24" t="inlineStr">
        <is>
          <t>Verify that the presence and integrity of digital signatures on authentication assertions (for example on JWTs or SAML assertions) are always validated, rejecting any assertions that are unsigned or have invalid signatures.</t>
        </is>
      </c>
      <c r="E54" s="20" t="n">
        <v>2</v>
      </c>
      <c r="F54" s="21" t="inlineStr">
        <is>
          <t>Not Started</t>
        </is>
      </c>
      <c r="G54" s="24" t="n"/>
      <c r="H54" s="24" t="n"/>
    </row>
    <row r="55" ht="30" customHeight="1">
      <c r="A55" s="17" t="inlineStr">
        <is>
          <t>V6.8</t>
        </is>
      </c>
      <c r="B55" s="17" t="inlineStr">
        <is>
          <t>Authentication with an Identity Provider</t>
        </is>
      </c>
      <c r="C55" s="18" t="inlineStr">
        <is>
          <t>V6.8.3</t>
        </is>
      </c>
      <c r="D55" s="19" t="inlineStr">
        <is>
          <t>Verify that SAML assertions are uniquely processed and used only once within the validity period to prevent replay attacks.</t>
        </is>
      </c>
      <c r="E55" s="20" t="n">
        <v>2</v>
      </c>
      <c r="F55" s="21" t="inlineStr">
        <is>
          <t>Not Started</t>
        </is>
      </c>
      <c r="G55" s="19" t="n"/>
      <c r="H55" s="19" t="n"/>
    </row>
    <row r="56" ht="30" customHeight="1">
      <c r="A56" s="22" t="inlineStr">
        <is>
          <t>V6.8</t>
        </is>
      </c>
      <c r="B56" s="22" t="inlineStr">
        <is>
          <t>Authentication with an Identity Provider</t>
        </is>
      </c>
      <c r="C56" s="23" t="inlineStr">
        <is>
          <t>V6.8.4</t>
        </is>
      </c>
      <c r="D56" s="24"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20" t="n">
        <v>2</v>
      </c>
      <c r="F56" s="21" t="inlineStr">
        <is>
          <t>Not Started</t>
        </is>
      </c>
      <c r="G56" s="24" t="n"/>
      <c r="H56" s="24"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V7.1</t>
        </is>
      </c>
      <c r="B2" s="16" t="inlineStr">
        <is>
          <t>Session Management Documentation</t>
        </is>
      </c>
      <c r="C2" s="16" t="n"/>
      <c r="D2" s="16" t="n"/>
      <c r="E2" s="16" t="n"/>
      <c r="F2" s="16" t="n"/>
      <c r="G2" s="16" t="n"/>
      <c r="H2" s="16" t="n"/>
    </row>
    <row r="3" ht="30" customHeight="1">
      <c r="A3" s="17" t="inlineStr">
        <is>
          <t>V7.1</t>
        </is>
      </c>
      <c r="B3" s="17" t="inlineStr">
        <is>
          <t>Session Management Documentation</t>
        </is>
      </c>
      <c r="C3" s="18" t="inlineStr">
        <is>
          <t>V7.1.1</t>
        </is>
      </c>
      <c r="D3" s="19"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20" t="n">
        <v>2</v>
      </c>
      <c r="F3" s="21" t="inlineStr">
        <is>
          <t>Not Started</t>
        </is>
      </c>
      <c r="G3" s="19" t="n"/>
      <c r="H3" s="19" t="n"/>
    </row>
    <row r="4" ht="30" customHeight="1">
      <c r="A4" s="22" t="inlineStr">
        <is>
          <t>V7.1</t>
        </is>
      </c>
      <c r="B4" s="22" t="inlineStr">
        <is>
          <t>Session Management Documentation</t>
        </is>
      </c>
      <c r="C4" s="23" t="inlineStr">
        <is>
          <t>V7.1.2</t>
        </is>
      </c>
      <c r="D4" s="24" t="inlineStr">
        <is>
          <t>Verify that the documentation defines how many concurrent (parallel) sessions are allowed for one account as well as the intended behaviors and actions to be taken when the maximum number of active sessions is reached.</t>
        </is>
      </c>
      <c r="E4" s="20" t="n">
        <v>2</v>
      </c>
      <c r="F4" s="21" t="inlineStr">
        <is>
          <t>Not Started</t>
        </is>
      </c>
      <c r="G4" s="24" t="n"/>
      <c r="H4" s="24" t="n"/>
    </row>
    <row r="5" ht="30" customHeight="1">
      <c r="A5" s="17" t="inlineStr">
        <is>
          <t>V7.1</t>
        </is>
      </c>
      <c r="B5" s="17" t="inlineStr">
        <is>
          <t>Session Management Documentation</t>
        </is>
      </c>
      <c r="C5" s="18" t="inlineStr">
        <is>
          <t>V7.1.3</t>
        </is>
      </c>
      <c r="D5" s="19"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20" t="n">
        <v>2</v>
      </c>
      <c r="F5" s="21" t="inlineStr">
        <is>
          <t>Not Started</t>
        </is>
      </c>
      <c r="G5" s="19" t="n"/>
      <c r="H5" s="19" t="n"/>
    </row>
    <row r="6" ht="18" customHeight="1">
      <c r="A6" s="16" t="inlineStr">
        <is>
          <t>V7.2</t>
        </is>
      </c>
      <c r="B6" s="16" t="inlineStr">
        <is>
          <t>Fundamental Session Management Security</t>
        </is>
      </c>
      <c r="C6" s="16" t="n"/>
      <c r="D6" s="16" t="n"/>
      <c r="E6" s="16" t="n"/>
      <c r="F6" s="16" t="n"/>
      <c r="G6" s="16" t="n"/>
      <c r="H6" s="16" t="n"/>
    </row>
    <row r="7" ht="30" customHeight="1">
      <c r="A7" s="17" t="inlineStr">
        <is>
          <t>V7.2</t>
        </is>
      </c>
      <c r="B7" s="17" t="inlineStr">
        <is>
          <t>Fundamental Session Management Security</t>
        </is>
      </c>
      <c r="C7" s="18" t="inlineStr">
        <is>
          <t>V7.2.1</t>
        </is>
      </c>
      <c r="D7" s="19" t="inlineStr">
        <is>
          <t>Verify that the application performs all session token verification using a trusted, backend service.</t>
        </is>
      </c>
      <c r="E7" s="25" t="n">
        <v>1</v>
      </c>
      <c r="F7" s="21" t="inlineStr">
        <is>
          <t>Not Started</t>
        </is>
      </c>
      <c r="G7" s="19" t="n"/>
      <c r="H7" s="19" t="n"/>
    </row>
    <row r="8" ht="30" customHeight="1">
      <c r="A8" s="22" t="inlineStr">
        <is>
          <t>V7.2</t>
        </is>
      </c>
      <c r="B8" s="22" t="inlineStr">
        <is>
          <t>Fundamental Session Management Security</t>
        </is>
      </c>
      <c r="C8" s="23" t="inlineStr">
        <is>
          <t>V7.2.2</t>
        </is>
      </c>
      <c r="D8" s="24" t="inlineStr">
        <is>
          <t>Verify that the application uses either self-contained or reference tokens that are dynamically generated for session management, i.e. not using static API secrets and keys.</t>
        </is>
      </c>
      <c r="E8" s="25" t="n">
        <v>1</v>
      </c>
      <c r="F8" s="21" t="inlineStr">
        <is>
          <t>Not Started</t>
        </is>
      </c>
      <c r="G8" s="24" t="n"/>
      <c r="H8" s="24" t="n"/>
    </row>
    <row r="9" ht="30" customHeight="1">
      <c r="A9" s="17" t="inlineStr">
        <is>
          <t>V7.2</t>
        </is>
      </c>
      <c r="B9" s="17" t="inlineStr">
        <is>
          <t>Fundamental Session Management Security</t>
        </is>
      </c>
      <c r="C9" s="18" t="inlineStr">
        <is>
          <t>V7.2.3</t>
        </is>
      </c>
      <c r="D9" s="19" t="inlineStr">
        <is>
          <t>Verify that if reference tokens are used to represent user sessions, they are unique and generated using a cryptographically secure pseudo-random number generator (CSPRNG) and possess at least 128 bits of entropy.</t>
        </is>
      </c>
      <c r="E9" s="25" t="n">
        <v>1</v>
      </c>
      <c r="F9" s="21" t="inlineStr">
        <is>
          <t>Not Started</t>
        </is>
      </c>
      <c r="G9" s="19" t="n"/>
      <c r="H9" s="19" t="n"/>
    </row>
    <row r="10" ht="30" customHeight="1">
      <c r="A10" s="22" t="inlineStr">
        <is>
          <t>V7.2</t>
        </is>
      </c>
      <c r="B10" s="22" t="inlineStr">
        <is>
          <t>Fundamental Session Management Security</t>
        </is>
      </c>
      <c r="C10" s="23" t="inlineStr">
        <is>
          <t>V7.2.4</t>
        </is>
      </c>
      <c r="D10" s="24" t="inlineStr">
        <is>
          <t>Verify that the application generates a new session token on user authentication, including re-authentication, and terminates the current session token.</t>
        </is>
      </c>
      <c r="E10" s="25" t="n">
        <v>1</v>
      </c>
      <c r="F10" s="21" t="inlineStr">
        <is>
          <t>Not Started</t>
        </is>
      </c>
      <c r="G10" s="24" t="n"/>
      <c r="H10" s="24" t="n"/>
    </row>
    <row r="11" ht="18" customHeight="1">
      <c r="A11" s="16" t="inlineStr">
        <is>
          <t>V7.3</t>
        </is>
      </c>
      <c r="B11" s="16" t="inlineStr">
        <is>
          <t>Session Timeout</t>
        </is>
      </c>
      <c r="C11" s="16" t="n"/>
      <c r="D11" s="16" t="n"/>
      <c r="E11" s="16" t="n"/>
      <c r="F11" s="16" t="n"/>
      <c r="G11" s="16" t="n"/>
      <c r="H11" s="16" t="n"/>
    </row>
    <row r="12" ht="30" customHeight="1">
      <c r="A12" s="17" t="inlineStr">
        <is>
          <t>V7.3</t>
        </is>
      </c>
      <c r="B12" s="17" t="inlineStr">
        <is>
          <t>Session Timeout</t>
        </is>
      </c>
      <c r="C12" s="18" t="inlineStr">
        <is>
          <t>V7.3.1</t>
        </is>
      </c>
      <c r="D12" s="19" t="inlineStr">
        <is>
          <t>Verify that there is an inactivity timeout such that re-authentication is enforced according to risk analysis and documented security decisions.</t>
        </is>
      </c>
      <c r="E12" s="20" t="n">
        <v>2</v>
      </c>
      <c r="F12" s="21" t="inlineStr">
        <is>
          <t>Not Started</t>
        </is>
      </c>
      <c r="G12" s="19" t="n"/>
      <c r="H12" s="19" t="n"/>
    </row>
    <row r="13" ht="30" customHeight="1">
      <c r="A13" s="22" t="inlineStr">
        <is>
          <t>V7.3</t>
        </is>
      </c>
      <c r="B13" s="22" t="inlineStr">
        <is>
          <t>Session Timeout</t>
        </is>
      </c>
      <c r="C13" s="23" t="inlineStr">
        <is>
          <t>V7.3.2</t>
        </is>
      </c>
      <c r="D13" s="24" t="inlineStr">
        <is>
          <t>Verify that there is an absolute maximum session lifetime such that re-authentication is enforced according to risk analysis and documented security decisions.</t>
        </is>
      </c>
      <c r="E13" s="20" t="n">
        <v>2</v>
      </c>
      <c r="F13" s="21" t="inlineStr">
        <is>
          <t>Not Started</t>
        </is>
      </c>
      <c r="G13" s="24" t="n"/>
      <c r="H13" s="24" t="n"/>
    </row>
    <row r="14" ht="18" customHeight="1">
      <c r="A14" s="16" t="inlineStr">
        <is>
          <t>V7.4</t>
        </is>
      </c>
      <c r="B14" s="16" t="inlineStr">
        <is>
          <t>Session Termination</t>
        </is>
      </c>
      <c r="C14" s="16" t="n"/>
      <c r="D14" s="16" t="n"/>
      <c r="E14" s="16" t="n"/>
      <c r="F14" s="16" t="n"/>
      <c r="G14" s="16" t="n"/>
      <c r="H14" s="16" t="n"/>
    </row>
    <row r="15" ht="30" customHeight="1">
      <c r="A15" s="17" t="inlineStr">
        <is>
          <t>V7.4</t>
        </is>
      </c>
      <c r="B15" s="17" t="inlineStr">
        <is>
          <t>Session Termination</t>
        </is>
      </c>
      <c r="C15" s="18" t="inlineStr">
        <is>
          <t>V7.4.1</t>
        </is>
      </c>
      <c r="D15" s="19"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5" t="n">
        <v>1</v>
      </c>
      <c r="F15" s="21" t="inlineStr">
        <is>
          <t>Not Started</t>
        </is>
      </c>
      <c r="G15" s="19" t="n"/>
      <c r="H15" s="19" t="n"/>
    </row>
    <row r="16" ht="30" customHeight="1">
      <c r="A16" s="22" t="inlineStr">
        <is>
          <t>V7.4</t>
        </is>
      </c>
      <c r="B16" s="22" t="inlineStr">
        <is>
          <t>Session Termination</t>
        </is>
      </c>
      <c r="C16" s="23" t="inlineStr">
        <is>
          <t>V7.4.2</t>
        </is>
      </c>
      <c r="D16" s="24" t="inlineStr">
        <is>
          <t>Verify that the application terminates all active sessions when a user account is disabled or deleted (such as an employee leaving the company).</t>
        </is>
      </c>
      <c r="E16" s="25" t="n">
        <v>1</v>
      </c>
      <c r="F16" s="21" t="inlineStr">
        <is>
          <t>Not Started</t>
        </is>
      </c>
      <c r="G16" s="24" t="n"/>
      <c r="H16" s="24" t="n"/>
    </row>
    <row r="17" ht="30" customHeight="1">
      <c r="A17" s="17" t="inlineStr">
        <is>
          <t>V7.4</t>
        </is>
      </c>
      <c r="B17" s="17" t="inlineStr">
        <is>
          <t>Session Termination</t>
        </is>
      </c>
      <c r="C17" s="18" t="inlineStr">
        <is>
          <t>V7.4.3</t>
        </is>
      </c>
      <c r="D17" s="19" t="inlineStr">
        <is>
          <t>Verify that the application gives the option to terminate all other active sessions after a successful change or removal of any authentication factor (including password change via reset or recovery and, if present, an MFA settings update).</t>
        </is>
      </c>
      <c r="E17" s="20" t="n">
        <v>2</v>
      </c>
      <c r="F17" s="21" t="inlineStr">
        <is>
          <t>Not Started</t>
        </is>
      </c>
      <c r="G17" s="19" t="n"/>
      <c r="H17" s="19" t="n"/>
    </row>
    <row r="18" ht="30" customHeight="1">
      <c r="A18" s="22" t="inlineStr">
        <is>
          <t>V7.4</t>
        </is>
      </c>
      <c r="B18" s="22" t="inlineStr">
        <is>
          <t>Session Termination</t>
        </is>
      </c>
      <c r="C18" s="23" t="inlineStr">
        <is>
          <t>V7.4.4</t>
        </is>
      </c>
      <c r="D18" s="24" t="inlineStr">
        <is>
          <t>Verify that all pages that require authentication have easy and visible access to logout functionality.</t>
        </is>
      </c>
      <c r="E18" s="20" t="n">
        <v>2</v>
      </c>
      <c r="F18" s="21" t="inlineStr">
        <is>
          <t>Not Started</t>
        </is>
      </c>
      <c r="G18" s="24" t="n"/>
      <c r="H18" s="24" t="n"/>
    </row>
    <row r="19" ht="30" customHeight="1">
      <c r="A19" s="17" t="inlineStr">
        <is>
          <t>V7.4</t>
        </is>
      </c>
      <c r="B19" s="17" t="inlineStr">
        <is>
          <t>Session Termination</t>
        </is>
      </c>
      <c r="C19" s="18" t="inlineStr">
        <is>
          <t>V7.4.5</t>
        </is>
      </c>
      <c r="D19" s="19" t="inlineStr">
        <is>
          <t>Verify that application administrators are able to terminate active sessions for an individual user or for all users.</t>
        </is>
      </c>
      <c r="E19" s="20" t="n">
        <v>2</v>
      </c>
      <c r="F19" s="21" t="inlineStr">
        <is>
          <t>Not Started</t>
        </is>
      </c>
      <c r="G19" s="19" t="n"/>
      <c r="H19" s="19" t="n"/>
    </row>
    <row r="20" ht="18" customHeight="1">
      <c r="A20" s="16" t="inlineStr">
        <is>
          <t>V7.5</t>
        </is>
      </c>
      <c r="B20" s="16" t="inlineStr">
        <is>
          <t>Defenses Against Session Abuse</t>
        </is>
      </c>
      <c r="C20" s="16" t="n"/>
      <c r="D20" s="16" t="n"/>
      <c r="E20" s="16" t="n"/>
      <c r="F20" s="16" t="n"/>
      <c r="G20" s="16" t="n"/>
      <c r="H20" s="16" t="n"/>
    </row>
    <row r="21" ht="30" customHeight="1">
      <c r="A21" s="17" t="inlineStr">
        <is>
          <t>V7.5</t>
        </is>
      </c>
      <c r="B21" s="17" t="inlineStr">
        <is>
          <t>Defenses Against Session Abuse</t>
        </is>
      </c>
      <c r="C21" s="18" t="inlineStr">
        <is>
          <t>V7.5.1</t>
        </is>
      </c>
      <c r="D21" s="19"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20" t="n">
        <v>2</v>
      </c>
      <c r="F21" s="21" t="inlineStr">
        <is>
          <t>Not Started</t>
        </is>
      </c>
      <c r="G21" s="19" t="n"/>
      <c r="H21" s="19" t="n"/>
    </row>
    <row r="22" ht="30" customHeight="1">
      <c r="A22" s="22" t="inlineStr">
        <is>
          <t>V7.5</t>
        </is>
      </c>
      <c r="B22" s="22" t="inlineStr">
        <is>
          <t>Defenses Against Session Abuse</t>
        </is>
      </c>
      <c r="C22" s="23" t="inlineStr">
        <is>
          <t>V7.5.2</t>
        </is>
      </c>
      <c r="D22" s="24" t="inlineStr">
        <is>
          <t>Verify that users are able to view and (having authenticated again with at least one factor) terminate any or all currently active sessions.</t>
        </is>
      </c>
      <c r="E22" s="20" t="n">
        <v>2</v>
      </c>
      <c r="F22" s="21" t="inlineStr">
        <is>
          <t>Not Started</t>
        </is>
      </c>
      <c r="G22" s="24" t="n"/>
      <c r="H22" s="24" t="n"/>
    </row>
    <row r="23" ht="30" customHeight="1">
      <c r="A23" s="17" t="inlineStr">
        <is>
          <t>V7.5</t>
        </is>
      </c>
      <c r="B23" s="17" t="inlineStr">
        <is>
          <t>Defenses Against Session Abuse</t>
        </is>
      </c>
      <c r="C23" s="18" t="inlineStr">
        <is>
          <t>V7.5.3</t>
        </is>
      </c>
      <c r="D23" s="19" t="inlineStr">
        <is>
          <t>Verify that the application requires further authentication with at least one factor or secondary verification before performing highly sensitive transactions or operations.</t>
        </is>
      </c>
      <c r="E23" s="26" t="n">
        <v>3</v>
      </c>
      <c r="F23" s="21" t="inlineStr">
        <is>
          <t>Not Started</t>
        </is>
      </c>
      <c r="G23" s="19" t="n"/>
      <c r="H23" s="19" t="n"/>
    </row>
    <row r="24" ht="18" customHeight="1">
      <c r="A24" s="16" t="inlineStr">
        <is>
          <t>V7.6</t>
        </is>
      </c>
      <c r="B24" s="16" t="inlineStr">
        <is>
          <t>Federated Re-authentication</t>
        </is>
      </c>
      <c r="C24" s="16" t="n"/>
      <c r="D24" s="16" t="n"/>
      <c r="E24" s="16" t="n"/>
      <c r="F24" s="16" t="n"/>
      <c r="G24" s="16" t="n"/>
      <c r="H24" s="16" t="n"/>
    </row>
    <row r="25" ht="30" customHeight="1">
      <c r="A25" s="17" t="inlineStr">
        <is>
          <t>V7.6</t>
        </is>
      </c>
      <c r="B25" s="17" t="inlineStr">
        <is>
          <t>Federated Re-authentication</t>
        </is>
      </c>
      <c r="C25" s="18" t="inlineStr">
        <is>
          <t>V7.6.1</t>
        </is>
      </c>
      <c r="D25" s="19" t="inlineStr">
        <is>
          <t>Verify that session lifetime and termination between Relying Parties (RPs) and Identity Providers (IdPs) behave as documented, requiring re-authentication as necessary such as when the maximum time between IdP authentication events is reached.</t>
        </is>
      </c>
      <c r="E25" s="20" t="n">
        <v>2</v>
      </c>
      <c r="F25" s="21" t="inlineStr">
        <is>
          <t>Not Started</t>
        </is>
      </c>
      <c r="G25" s="19" t="n"/>
      <c r="H25" s="19" t="n"/>
    </row>
    <row r="26" ht="30" customHeight="1">
      <c r="A26" s="22" t="inlineStr">
        <is>
          <t>V7.6</t>
        </is>
      </c>
      <c r="B26" s="22" t="inlineStr">
        <is>
          <t>Federated Re-authentication</t>
        </is>
      </c>
      <c r="C26" s="23" t="inlineStr">
        <is>
          <t>V7.6.2</t>
        </is>
      </c>
      <c r="D26" s="24" t="inlineStr">
        <is>
          <t>Verify that creation of a session requires either the user's consent or an explicit action, preventing the creation of new application sessions without user interaction.</t>
        </is>
      </c>
      <c r="E26" s="20" t="n">
        <v>2</v>
      </c>
      <c r="F26" s="21" t="inlineStr">
        <is>
          <t>Not Started</t>
        </is>
      </c>
      <c r="G26" s="24" t="n"/>
      <c r="H26" s="24"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V8.1</t>
        </is>
      </c>
      <c r="B2" s="16" t="inlineStr">
        <is>
          <t>Authorization Documentation</t>
        </is>
      </c>
      <c r="C2" s="16" t="n"/>
      <c r="D2" s="16" t="n"/>
      <c r="E2" s="16" t="n"/>
      <c r="F2" s="16" t="n"/>
      <c r="G2" s="16" t="n"/>
      <c r="H2" s="16" t="n"/>
    </row>
    <row r="3" ht="30" customHeight="1">
      <c r="A3" s="17" t="inlineStr">
        <is>
          <t>V8.1</t>
        </is>
      </c>
      <c r="B3" s="17" t="inlineStr">
        <is>
          <t>Authorization Documentation</t>
        </is>
      </c>
      <c r="C3" s="18" t="inlineStr">
        <is>
          <t>V8.1.1</t>
        </is>
      </c>
      <c r="D3" s="19" t="inlineStr">
        <is>
          <t>Verify that authorization documentation defines rules for restricting function-level and data-specific access based on consumer permissions and resource attributes.</t>
        </is>
      </c>
      <c r="E3" s="25" t="n">
        <v>1</v>
      </c>
      <c r="F3" s="21" t="inlineStr">
        <is>
          <t>Not Started</t>
        </is>
      </c>
      <c r="G3" s="19" t="n"/>
      <c r="H3" s="19" t="n"/>
    </row>
    <row r="4" ht="30" customHeight="1">
      <c r="A4" s="22" t="inlineStr">
        <is>
          <t>V8.1</t>
        </is>
      </c>
      <c r="B4" s="22" t="inlineStr">
        <is>
          <t>Authorization Documentation</t>
        </is>
      </c>
      <c r="C4" s="23" t="inlineStr">
        <is>
          <t>V8.1.2</t>
        </is>
      </c>
      <c r="D4" s="24"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20" t="n">
        <v>2</v>
      </c>
      <c r="F4" s="21" t="inlineStr">
        <is>
          <t>Not Started</t>
        </is>
      </c>
      <c r="G4" s="24" t="n"/>
      <c r="H4" s="24" t="n"/>
    </row>
    <row r="5" ht="30" customHeight="1">
      <c r="A5" s="17" t="inlineStr">
        <is>
          <t>V8.1</t>
        </is>
      </c>
      <c r="B5" s="17" t="inlineStr">
        <is>
          <t>Authorization Documentation</t>
        </is>
      </c>
      <c r="C5" s="18" t="inlineStr">
        <is>
          <t>V8.1.3</t>
        </is>
      </c>
      <c r="D5" s="19"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6" t="n">
        <v>3</v>
      </c>
      <c r="F5" s="21" t="inlineStr">
        <is>
          <t>Not Started</t>
        </is>
      </c>
      <c r="G5" s="19" t="n"/>
      <c r="H5" s="19" t="n"/>
    </row>
    <row r="6" ht="30" customHeight="1">
      <c r="A6" s="22" t="inlineStr">
        <is>
          <t>V8.1</t>
        </is>
      </c>
      <c r="B6" s="22" t="inlineStr">
        <is>
          <t>Authorization Documentation</t>
        </is>
      </c>
      <c r="C6" s="23" t="inlineStr">
        <is>
          <t>V8.1.4</t>
        </is>
      </c>
      <c r="D6" s="24"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6" t="n">
        <v>3</v>
      </c>
      <c r="F6" s="21" t="inlineStr">
        <is>
          <t>Not Started</t>
        </is>
      </c>
      <c r="G6" s="24" t="n"/>
      <c r="H6" s="24" t="n"/>
    </row>
    <row r="7" ht="18" customHeight="1">
      <c r="A7" s="16" t="inlineStr">
        <is>
          <t>V8.2</t>
        </is>
      </c>
      <c r="B7" s="16" t="inlineStr">
        <is>
          <t>General Authorization Design</t>
        </is>
      </c>
      <c r="C7" s="16" t="n"/>
      <c r="D7" s="16" t="n"/>
      <c r="E7" s="16" t="n"/>
      <c r="F7" s="16" t="n"/>
      <c r="G7" s="16" t="n"/>
      <c r="H7" s="16" t="n"/>
    </row>
    <row r="8" ht="30" customHeight="1">
      <c r="A8" s="17" t="inlineStr">
        <is>
          <t>V8.2</t>
        </is>
      </c>
      <c r="B8" s="17" t="inlineStr">
        <is>
          <t>General Authorization Design</t>
        </is>
      </c>
      <c r="C8" s="18" t="inlineStr">
        <is>
          <t>V8.2.1</t>
        </is>
      </c>
      <c r="D8" s="19" t="inlineStr">
        <is>
          <t>Verify that the application ensures that function-level access is restricted to consumers with explicit permissions.</t>
        </is>
      </c>
      <c r="E8" s="25" t="n">
        <v>1</v>
      </c>
      <c r="F8" s="21" t="inlineStr">
        <is>
          <t>Not Started</t>
        </is>
      </c>
      <c r="G8" s="19" t="n"/>
      <c r="H8" s="19" t="n"/>
    </row>
    <row r="9" ht="30" customHeight="1">
      <c r="A9" s="22" t="inlineStr">
        <is>
          <t>V8.2</t>
        </is>
      </c>
      <c r="B9" s="22" t="inlineStr">
        <is>
          <t>General Authorization Design</t>
        </is>
      </c>
      <c r="C9" s="23" t="inlineStr">
        <is>
          <t>V8.2.2</t>
        </is>
      </c>
      <c r="D9" s="24" t="inlineStr">
        <is>
          <t>Verify that the application ensures that data-specific access is restricted to consumers with explicit permissions to specific data items to mitigate insecure direct object reference (IDOR) and broken object level authorization (BOLA).</t>
        </is>
      </c>
      <c r="E9" s="25" t="n">
        <v>1</v>
      </c>
      <c r="F9" s="21" t="inlineStr">
        <is>
          <t>Not Started</t>
        </is>
      </c>
      <c r="G9" s="24" t="n"/>
      <c r="H9" s="24" t="n"/>
    </row>
    <row r="10" ht="30" customHeight="1">
      <c r="A10" s="17" t="inlineStr">
        <is>
          <t>V8.2</t>
        </is>
      </c>
      <c r="B10" s="17" t="inlineStr">
        <is>
          <t>General Authorization Design</t>
        </is>
      </c>
      <c r="C10" s="18" t="inlineStr">
        <is>
          <t>V8.2.3</t>
        </is>
      </c>
      <c r="D10" s="19" t="inlineStr">
        <is>
          <t>Verify that the application ensures that field-level access is restricted to consumers with explicit permissions to specific fields to mitigate broken object property level authorization (BOPLA).</t>
        </is>
      </c>
      <c r="E10" s="20" t="n">
        <v>2</v>
      </c>
      <c r="F10" s="21" t="inlineStr">
        <is>
          <t>Not Started</t>
        </is>
      </c>
      <c r="G10" s="19" t="n"/>
      <c r="H10" s="19" t="n"/>
    </row>
    <row r="11" ht="30" customHeight="1">
      <c r="A11" s="22" t="inlineStr">
        <is>
          <t>V8.2</t>
        </is>
      </c>
      <c r="B11" s="22" t="inlineStr">
        <is>
          <t>General Authorization Design</t>
        </is>
      </c>
      <c r="C11" s="23" t="inlineStr">
        <is>
          <t>V8.2.4</t>
        </is>
      </c>
      <c r="D11" s="24"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6" t="n">
        <v>3</v>
      </c>
      <c r="F11" s="21" t="inlineStr">
        <is>
          <t>Not Started</t>
        </is>
      </c>
      <c r="G11" s="24" t="n"/>
      <c r="H11" s="24" t="n"/>
    </row>
    <row r="12" ht="18" customHeight="1">
      <c r="A12" s="16" t="inlineStr">
        <is>
          <t>V8.3</t>
        </is>
      </c>
      <c r="B12" s="16" t="inlineStr">
        <is>
          <t>Operation Level Authorization</t>
        </is>
      </c>
      <c r="C12" s="16" t="n"/>
      <c r="D12" s="16" t="n"/>
      <c r="E12" s="16" t="n"/>
      <c r="F12" s="16" t="n"/>
      <c r="G12" s="16" t="n"/>
      <c r="H12" s="16" t="n"/>
    </row>
    <row r="13" ht="30" customHeight="1">
      <c r="A13" s="17" t="inlineStr">
        <is>
          <t>V8.3</t>
        </is>
      </c>
      <c r="B13" s="17" t="inlineStr">
        <is>
          <t>Operation Level Authorization</t>
        </is>
      </c>
      <c r="C13" s="18" t="inlineStr">
        <is>
          <t>V8.3.1</t>
        </is>
      </c>
      <c r="D13" s="19" t="inlineStr">
        <is>
          <t>Verify that the application enforces authorization rules at a trusted service layer and doesn't rely on controls that an untrusted consumer could manipulate, such as client-side JavaScript.</t>
        </is>
      </c>
      <c r="E13" s="25" t="n">
        <v>1</v>
      </c>
      <c r="F13" s="21" t="inlineStr">
        <is>
          <t>Not Started</t>
        </is>
      </c>
      <c r="G13" s="19" t="n"/>
      <c r="H13" s="19" t="n"/>
    </row>
    <row r="14" ht="30" customHeight="1">
      <c r="A14" s="22" t="inlineStr">
        <is>
          <t>V8.3</t>
        </is>
      </c>
      <c r="B14" s="22" t="inlineStr">
        <is>
          <t>Operation Level Authorization</t>
        </is>
      </c>
      <c r="C14" s="23" t="inlineStr">
        <is>
          <t>V8.3.2</t>
        </is>
      </c>
      <c r="D14" s="24"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6" t="n">
        <v>3</v>
      </c>
      <c r="F14" s="21" t="inlineStr">
        <is>
          <t>Not Started</t>
        </is>
      </c>
      <c r="G14" s="24" t="n"/>
      <c r="H14" s="24" t="n"/>
    </row>
    <row r="15" ht="30" customHeight="1">
      <c r="A15" s="17" t="inlineStr">
        <is>
          <t>V8.3</t>
        </is>
      </c>
      <c r="B15" s="17" t="inlineStr">
        <is>
          <t>Operation Level Authorization</t>
        </is>
      </c>
      <c r="C15" s="18" t="inlineStr">
        <is>
          <t>V8.3.3</t>
        </is>
      </c>
      <c r="D15" s="19"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6" t="n">
        <v>3</v>
      </c>
      <c r="F15" s="21" t="inlineStr">
        <is>
          <t>Not Started</t>
        </is>
      </c>
      <c r="G15" s="19" t="n"/>
      <c r="H15" s="19" t="n"/>
    </row>
    <row r="16" ht="18" customHeight="1">
      <c r="A16" s="16" t="inlineStr">
        <is>
          <t>V8.4</t>
        </is>
      </c>
      <c r="B16" s="16" t="inlineStr">
        <is>
          <t>Other Authorization Considerations</t>
        </is>
      </c>
      <c r="C16" s="16" t="n"/>
      <c r="D16" s="16" t="n"/>
      <c r="E16" s="16" t="n"/>
      <c r="F16" s="16" t="n"/>
      <c r="G16" s="16" t="n"/>
      <c r="H16" s="16" t="n"/>
    </row>
    <row r="17" ht="30" customHeight="1">
      <c r="A17" s="17" t="inlineStr">
        <is>
          <t>V8.4</t>
        </is>
      </c>
      <c r="B17" s="17" t="inlineStr">
        <is>
          <t>Other Authorization Considerations</t>
        </is>
      </c>
      <c r="C17" s="18" t="inlineStr">
        <is>
          <t>V8.4.1</t>
        </is>
      </c>
      <c r="D17" s="19" t="inlineStr">
        <is>
          <t>Verify that multi-tenant applications use cross-tenant controls to ensure consumer operations will never affect tenants with which they do not have permissions to interact.</t>
        </is>
      </c>
      <c r="E17" s="20" t="n">
        <v>2</v>
      </c>
      <c r="F17" s="21" t="inlineStr">
        <is>
          <t>Not Started</t>
        </is>
      </c>
      <c r="G17" s="19" t="n"/>
      <c r="H17" s="19" t="n"/>
    </row>
    <row r="18" ht="30" customHeight="1">
      <c r="A18" s="22" t="inlineStr">
        <is>
          <t>V8.4</t>
        </is>
      </c>
      <c r="B18" s="22" t="inlineStr">
        <is>
          <t>Other Authorization Considerations</t>
        </is>
      </c>
      <c r="C18" s="23" t="inlineStr">
        <is>
          <t>V8.4.2</t>
        </is>
      </c>
      <c r="D18" s="24"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6" t="n">
        <v>3</v>
      </c>
      <c r="F18" s="21" t="inlineStr">
        <is>
          <t>Not Started</t>
        </is>
      </c>
      <c r="G18" s="24" t="n"/>
      <c r="H18" s="24"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V9.1</t>
        </is>
      </c>
      <c r="B2" s="16" t="inlineStr">
        <is>
          <t>Token source and integrity</t>
        </is>
      </c>
      <c r="C2" s="16" t="n"/>
      <c r="D2" s="16" t="n"/>
      <c r="E2" s="16" t="n"/>
      <c r="F2" s="16" t="n"/>
      <c r="G2" s="16" t="n"/>
      <c r="H2" s="16" t="n"/>
    </row>
    <row r="3" ht="30" customHeight="1">
      <c r="A3" s="17" t="inlineStr">
        <is>
          <t>V9.1</t>
        </is>
      </c>
      <c r="B3" s="17" t="inlineStr">
        <is>
          <t>Token source and integrity</t>
        </is>
      </c>
      <c r="C3" s="18" t="inlineStr">
        <is>
          <t>V9.1.1</t>
        </is>
      </c>
      <c r="D3" s="19" t="inlineStr">
        <is>
          <t>Verify that self-contained tokens are validated using their digital signature or MAC to protect against tampering before accepting the token's contents.</t>
        </is>
      </c>
      <c r="E3" s="25" t="n">
        <v>1</v>
      </c>
      <c r="F3" s="21" t="inlineStr">
        <is>
          <t>Not Started</t>
        </is>
      </c>
      <c r="G3" s="19" t="n"/>
      <c r="H3" s="19" t="n"/>
    </row>
    <row r="4" ht="30" customHeight="1">
      <c r="A4" s="22" t="inlineStr">
        <is>
          <t>V9.1</t>
        </is>
      </c>
      <c r="B4" s="22" t="inlineStr">
        <is>
          <t>Token source and integrity</t>
        </is>
      </c>
      <c r="C4" s="23" t="inlineStr">
        <is>
          <t>V9.1.2</t>
        </is>
      </c>
      <c r="D4" s="24"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5" t="n">
        <v>1</v>
      </c>
      <c r="F4" s="21" t="inlineStr">
        <is>
          <t>Not Started</t>
        </is>
      </c>
      <c r="G4" s="24" t="n"/>
      <c r="H4" s="24" t="n"/>
    </row>
    <row r="5" ht="30" customHeight="1">
      <c r="A5" s="17" t="inlineStr">
        <is>
          <t>V9.1</t>
        </is>
      </c>
      <c r="B5" s="17" t="inlineStr">
        <is>
          <t>Token source and integrity</t>
        </is>
      </c>
      <c r="C5" s="18" t="inlineStr">
        <is>
          <t>V9.1.3</t>
        </is>
      </c>
      <c r="D5" s="19"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5" t="n">
        <v>1</v>
      </c>
      <c r="F5" s="21" t="inlineStr">
        <is>
          <t>Not Started</t>
        </is>
      </c>
      <c r="G5" s="19" t="n"/>
      <c r="H5" s="19" t="n"/>
    </row>
    <row r="6" ht="18" customHeight="1">
      <c r="A6" s="16" t="inlineStr">
        <is>
          <t>V9.2</t>
        </is>
      </c>
      <c r="B6" s="16" t="inlineStr">
        <is>
          <t>Token content</t>
        </is>
      </c>
      <c r="C6" s="16" t="n"/>
      <c r="D6" s="16" t="n"/>
      <c r="E6" s="16" t="n"/>
      <c r="F6" s="16" t="n"/>
      <c r="G6" s="16" t="n"/>
      <c r="H6" s="16" t="n"/>
    </row>
    <row r="7" ht="30" customHeight="1">
      <c r="A7" s="17" t="inlineStr">
        <is>
          <t>V9.2</t>
        </is>
      </c>
      <c r="B7" s="17" t="inlineStr">
        <is>
          <t>Token content</t>
        </is>
      </c>
      <c r="C7" s="18" t="inlineStr">
        <is>
          <t>V9.2.1</t>
        </is>
      </c>
      <c r="D7" s="19" t="inlineStr">
        <is>
          <t>Verify that, if a validity time span is present in the token data, the token and its content are accepted only if the verification time is within this validity time span. For example, for JWTs, the claims 'nbf' and 'exp' must be verified.</t>
        </is>
      </c>
      <c r="E7" s="25" t="n">
        <v>1</v>
      </c>
      <c r="F7" s="21" t="inlineStr">
        <is>
          <t>Not Started</t>
        </is>
      </c>
      <c r="G7" s="19" t="n"/>
      <c r="H7" s="19" t="n"/>
    </row>
    <row r="8" ht="30" customHeight="1">
      <c r="A8" s="22" t="inlineStr">
        <is>
          <t>V9.2</t>
        </is>
      </c>
      <c r="B8" s="22" t="inlineStr">
        <is>
          <t>Token content</t>
        </is>
      </c>
      <c r="C8" s="23" t="inlineStr">
        <is>
          <t>V9.2.2</t>
        </is>
      </c>
      <c r="D8" s="24"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20" t="n">
        <v>2</v>
      </c>
      <c r="F8" s="21" t="inlineStr">
        <is>
          <t>Not Started</t>
        </is>
      </c>
      <c r="G8" s="24" t="n"/>
      <c r="H8" s="24" t="n"/>
    </row>
    <row r="9" ht="30" customHeight="1">
      <c r="A9" s="17" t="inlineStr">
        <is>
          <t>V9.2</t>
        </is>
      </c>
      <c r="B9" s="17" t="inlineStr">
        <is>
          <t>Token content</t>
        </is>
      </c>
      <c r="C9" s="18" t="inlineStr">
        <is>
          <t>V9.2.3</t>
        </is>
      </c>
      <c r="D9" s="19" t="inlineStr">
        <is>
          <t>Verify that the service only accepts tokens which are intended for use with that service (audience). For JWTs, this can be achieved by validating the 'aud' claim against an allowlist defined in the service.</t>
        </is>
      </c>
      <c r="E9" s="20" t="n">
        <v>2</v>
      </c>
      <c r="F9" s="21" t="inlineStr">
        <is>
          <t>Not Started</t>
        </is>
      </c>
      <c r="G9" s="19" t="n"/>
      <c r="H9" s="19" t="n"/>
    </row>
    <row r="10" ht="30" customHeight="1">
      <c r="A10" s="22" t="inlineStr">
        <is>
          <t>V9.2</t>
        </is>
      </c>
      <c r="B10" s="22" t="inlineStr">
        <is>
          <t>Token content</t>
        </is>
      </c>
      <c r="C10" s="23" t="inlineStr">
        <is>
          <t>V9.2.4</t>
        </is>
      </c>
      <c r="D10" s="24"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20" t="n">
        <v>2</v>
      </c>
      <c r="F10" s="21" t="inlineStr">
        <is>
          <t>Not Started</t>
        </is>
      </c>
      <c r="G10" s="24" t="n"/>
      <c r="H10" s="24" t="n"/>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V10.1</t>
        </is>
      </c>
      <c r="B2" s="16" t="inlineStr">
        <is>
          <t>Generic OAuth and OIDC Security</t>
        </is>
      </c>
      <c r="C2" s="16" t="n"/>
      <c r="D2" s="16" t="n"/>
      <c r="E2" s="16" t="n"/>
      <c r="F2" s="16" t="n"/>
      <c r="G2" s="16" t="n"/>
      <c r="H2" s="16" t="n"/>
    </row>
    <row r="3" ht="30" customHeight="1">
      <c r="A3" s="17" t="inlineStr">
        <is>
          <t>V10.1</t>
        </is>
      </c>
      <c r="B3" s="17" t="inlineStr">
        <is>
          <t>Generic OAuth and OIDC Security</t>
        </is>
      </c>
      <c r="C3" s="18" t="inlineStr">
        <is>
          <t>V10.1.1</t>
        </is>
      </c>
      <c r="D3" s="19" t="inlineStr">
        <is>
          <t>Verify that tokens are only sent to components that strictly need them. For example, when using a backend-for-frontend pattern for browser-based JavaScript applications, access and refresh tokens shall only be accessible for the backend.</t>
        </is>
      </c>
      <c r="E3" s="20" t="n">
        <v>2</v>
      </c>
      <c r="F3" s="21" t="inlineStr">
        <is>
          <t>Not Started</t>
        </is>
      </c>
      <c r="G3" s="19" t="n"/>
      <c r="H3" s="19" t="n"/>
    </row>
    <row r="4" ht="30" customHeight="1">
      <c r="A4" s="22" t="inlineStr">
        <is>
          <t>V10.1</t>
        </is>
      </c>
      <c r="B4" s="22" t="inlineStr">
        <is>
          <t>Generic OAuth and OIDC Security</t>
        </is>
      </c>
      <c r="C4" s="23" t="inlineStr">
        <is>
          <t>V10.1.2</t>
        </is>
      </c>
      <c r="D4" s="24"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20" t="n">
        <v>2</v>
      </c>
      <c r="F4" s="21" t="inlineStr">
        <is>
          <t>Not Started</t>
        </is>
      </c>
      <c r="G4" s="24" t="n"/>
      <c r="H4" s="24" t="n"/>
    </row>
    <row r="5" ht="18" customHeight="1">
      <c r="A5" s="16" t="inlineStr">
        <is>
          <t>V10.2</t>
        </is>
      </c>
      <c r="B5" s="16" t="inlineStr">
        <is>
          <t>OAuth Client</t>
        </is>
      </c>
      <c r="C5" s="16" t="n"/>
      <c r="D5" s="16" t="n"/>
      <c r="E5" s="16" t="n"/>
      <c r="F5" s="16" t="n"/>
      <c r="G5" s="16" t="n"/>
      <c r="H5" s="16" t="n"/>
    </row>
    <row r="6" ht="30" customHeight="1">
      <c r="A6" s="17" t="inlineStr">
        <is>
          <t>V10.2</t>
        </is>
      </c>
      <c r="B6" s="17" t="inlineStr">
        <is>
          <t>OAuth Client</t>
        </is>
      </c>
      <c r="C6" s="18" t="inlineStr">
        <is>
          <t>V10.2.1</t>
        </is>
      </c>
      <c r="D6" s="19"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20" t="n">
        <v>2</v>
      </c>
      <c r="F6" s="21" t="inlineStr">
        <is>
          <t>Not Started</t>
        </is>
      </c>
      <c r="G6" s="19" t="n"/>
      <c r="H6" s="19" t="n"/>
    </row>
    <row r="7" ht="30" customHeight="1">
      <c r="A7" s="22" t="inlineStr">
        <is>
          <t>V10.2</t>
        </is>
      </c>
      <c r="B7" s="22" t="inlineStr">
        <is>
          <t>OAuth Client</t>
        </is>
      </c>
      <c r="C7" s="23" t="inlineStr">
        <is>
          <t>V10.2.2</t>
        </is>
      </c>
      <c r="D7" s="24"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20" t="n">
        <v>2</v>
      </c>
      <c r="F7" s="21" t="inlineStr">
        <is>
          <t>Not Started</t>
        </is>
      </c>
      <c r="G7" s="24" t="n"/>
      <c r="H7" s="24" t="n"/>
    </row>
    <row r="8" ht="30" customHeight="1">
      <c r="A8" s="17" t="inlineStr">
        <is>
          <t>V10.2</t>
        </is>
      </c>
      <c r="B8" s="17" t="inlineStr">
        <is>
          <t>OAuth Client</t>
        </is>
      </c>
      <c r="C8" s="18" t="inlineStr">
        <is>
          <t>V10.2.3</t>
        </is>
      </c>
      <c r="D8" s="19" t="inlineStr">
        <is>
          <t>Verify that the OAuth client only requests the required scopes (or other authorization parameters) in requests to the authorization server.</t>
        </is>
      </c>
      <c r="E8" s="26" t="n">
        <v>3</v>
      </c>
      <c r="F8" s="21" t="inlineStr">
        <is>
          <t>Not Started</t>
        </is>
      </c>
      <c r="G8" s="19" t="n"/>
      <c r="H8" s="19" t="n"/>
    </row>
    <row r="9" ht="18" customHeight="1">
      <c r="A9" s="16" t="inlineStr">
        <is>
          <t>V10.3</t>
        </is>
      </c>
      <c r="B9" s="16" t="inlineStr">
        <is>
          <t>OAuth Resource Server</t>
        </is>
      </c>
      <c r="C9" s="16" t="n"/>
      <c r="D9" s="16" t="n"/>
      <c r="E9" s="16" t="n"/>
      <c r="F9" s="16" t="n"/>
      <c r="G9" s="16" t="n"/>
      <c r="H9" s="16" t="n"/>
    </row>
    <row r="10" ht="30" customHeight="1">
      <c r="A10" s="17" t="inlineStr">
        <is>
          <t>V10.3</t>
        </is>
      </c>
      <c r="B10" s="17" t="inlineStr">
        <is>
          <t>OAuth Resource Server</t>
        </is>
      </c>
      <c r="C10" s="18" t="inlineStr">
        <is>
          <t>V10.3.1</t>
        </is>
      </c>
      <c r="D10" s="19"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20" t="n">
        <v>2</v>
      </c>
      <c r="F10" s="21" t="inlineStr">
        <is>
          <t>Not Started</t>
        </is>
      </c>
      <c r="G10" s="19" t="n"/>
      <c r="H10" s="19" t="n"/>
    </row>
    <row r="11" ht="30" customHeight="1">
      <c r="A11" s="22" t="inlineStr">
        <is>
          <t>V10.3</t>
        </is>
      </c>
      <c r="B11" s="22" t="inlineStr">
        <is>
          <t>OAuth Resource Server</t>
        </is>
      </c>
      <c r="C11" s="23" t="inlineStr">
        <is>
          <t>V10.3.2</t>
        </is>
      </c>
      <c r="D11" s="24" t="inlineStr">
        <is>
          <t>Verify that the resource server enforces authorization decisions based on claims from the access token that define delegated authorization. If claims such as 'sub', 'scope', and 'authorization_details' are present, they must be part of the decision.</t>
        </is>
      </c>
      <c r="E11" s="20" t="n">
        <v>2</v>
      </c>
      <c r="F11" s="21" t="inlineStr">
        <is>
          <t>Not Started</t>
        </is>
      </c>
      <c r="G11" s="24" t="n"/>
      <c r="H11" s="24" t="n"/>
    </row>
    <row r="12" ht="30" customHeight="1">
      <c r="A12" s="17" t="inlineStr">
        <is>
          <t>V10.3</t>
        </is>
      </c>
      <c r="B12" s="17" t="inlineStr">
        <is>
          <t>OAuth Resource Server</t>
        </is>
      </c>
      <c r="C12" s="18" t="inlineStr">
        <is>
          <t>V10.3.3</t>
        </is>
      </c>
      <c r="D12" s="19"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20" t="n">
        <v>2</v>
      </c>
      <c r="F12" s="21" t="inlineStr">
        <is>
          <t>Not Started</t>
        </is>
      </c>
      <c r="G12" s="19" t="n"/>
      <c r="H12" s="19" t="n"/>
    </row>
    <row r="13" ht="30" customHeight="1">
      <c r="A13" s="22" t="inlineStr">
        <is>
          <t>V10.3</t>
        </is>
      </c>
      <c r="B13" s="22" t="inlineStr">
        <is>
          <t>OAuth Resource Server</t>
        </is>
      </c>
      <c r="C13" s="23" t="inlineStr">
        <is>
          <t>V10.3.4</t>
        </is>
      </c>
      <c r="D13" s="24"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20" t="n">
        <v>2</v>
      </c>
      <c r="F13" s="21" t="inlineStr">
        <is>
          <t>Not Started</t>
        </is>
      </c>
      <c r="G13" s="24" t="n"/>
      <c r="H13" s="24" t="n"/>
    </row>
    <row r="14" ht="30" customHeight="1">
      <c r="A14" s="17" t="inlineStr">
        <is>
          <t>V10.3</t>
        </is>
      </c>
      <c r="B14" s="17" t="inlineStr">
        <is>
          <t>OAuth Resource Server</t>
        </is>
      </c>
      <c r="C14" s="18" t="inlineStr">
        <is>
          <t>V10.3.5</t>
        </is>
      </c>
      <c r="D14" s="19"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6" t="n">
        <v>3</v>
      </c>
      <c r="F14" s="21" t="inlineStr">
        <is>
          <t>Not Started</t>
        </is>
      </c>
      <c r="G14" s="19" t="n"/>
      <c r="H14" s="19" t="n"/>
    </row>
    <row r="15" ht="18" customHeight="1">
      <c r="A15" s="16" t="inlineStr">
        <is>
          <t>V10.4</t>
        </is>
      </c>
      <c r="B15" s="16" t="inlineStr">
        <is>
          <t>OAuth Authorization Server</t>
        </is>
      </c>
      <c r="C15" s="16" t="n"/>
      <c r="D15" s="16" t="n"/>
      <c r="E15" s="16" t="n"/>
      <c r="F15" s="16" t="n"/>
      <c r="G15" s="16" t="n"/>
      <c r="H15" s="16" t="n"/>
    </row>
    <row r="16" ht="30" customHeight="1">
      <c r="A16" s="17" t="inlineStr">
        <is>
          <t>V10.4</t>
        </is>
      </c>
      <c r="B16" s="17" t="inlineStr">
        <is>
          <t>OAuth Authorization Server</t>
        </is>
      </c>
      <c r="C16" s="18" t="inlineStr">
        <is>
          <t>V10.4.1</t>
        </is>
      </c>
      <c r="D16" s="19" t="inlineStr">
        <is>
          <t>Verify that the authorization server validates redirect URIs based on a client-specific allowlist of pre-registered URIs using exact string comparison.</t>
        </is>
      </c>
      <c r="E16" s="25" t="n">
        <v>1</v>
      </c>
      <c r="F16" s="21" t="inlineStr">
        <is>
          <t>Not Started</t>
        </is>
      </c>
      <c r="G16" s="19" t="n"/>
      <c r="H16" s="19" t="n"/>
    </row>
    <row r="17" ht="30" customHeight="1">
      <c r="A17" s="22" t="inlineStr">
        <is>
          <t>V10.4</t>
        </is>
      </c>
      <c r="B17" s="22" t="inlineStr">
        <is>
          <t>OAuth Authorization Server</t>
        </is>
      </c>
      <c r="C17" s="23" t="inlineStr">
        <is>
          <t>V10.4.2</t>
        </is>
      </c>
      <c r="D17" s="24"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5" t="n">
        <v>1</v>
      </c>
      <c r="F17" s="21" t="inlineStr">
        <is>
          <t>Not Started</t>
        </is>
      </c>
      <c r="G17" s="24" t="n"/>
      <c r="H17" s="24" t="n"/>
    </row>
    <row r="18" ht="30" customHeight="1">
      <c r="A18" s="17" t="inlineStr">
        <is>
          <t>V10.4</t>
        </is>
      </c>
      <c r="B18" s="17" t="inlineStr">
        <is>
          <t>OAuth Authorization Server</t>
        </is>
      </c>
      <c r="C18" s="18" t="inlineStr">
        <is>
          <t>V10.4.3</t>
        </is>
      </c>
      <c r="D18" s="19" t="inlineStr">
        <is>
          <t>Verify that the authorization code is short-lived. The maximum lifetime can be up to 10 minutes for L1 and L2 applications and up to 1 minute for L3 applications.</t>
        </is>
      </c>
      <c r="E18" s="25" t="n">
        <v>1</v>
      </c>
      <c r="F18" s="21" t="inlineStr">
        <is>
          <t>Not Started</t>
        </is>
      </c>
      <c r="G18" s="19" t="n"/>
      <c r="H18" s="19" t="n"/>
    </row>
    <row r="19" ht="30" customHeight="1">
      <c r="A19" s="22" t="inlineStr">
        <is>
          <t>V10.4</t>
        </is>
      </c>
      <c r="B19" s="22" t="inlineStr">
        <is>
          <t>OAuth Authorization Server</t>
        </is>
      </c>
      <c r="C19" s="23" t="inlineStr">
        <is>
          <t>V10.4.4</t>
        </is>
      </c>
      <c r="D19" s="24" t="inlineStr">
        <is>
          <t>Verify that for a given client, the authorization server only allows the usage of grants that this client needs to use. Note that the grants 'token' (Implicit flow) and 'password' (Resource Owner Password Credentials flow) must no longer be used.</t>
        </is>
      </c>
      <c r="E19" s="25" t="n">
        <v>1</v>
      </c>
      <c r="F19" s="21" t="inlineStr">
        <is>
          <t>Not Started</t>
        </is>
      </c>
      <c r="G19" s="24" t="n"/>
      <c r="H19" s="24" t="n"/>
    </row>
    <row r="20" ht="30" customHeight="1">
      <c r="A20" s="17" t="inlineStr">
        <is>
          <t>V10.4</t>
        </is>
      </c>
      <c r="B20" s="17" t="inlineStr">
        <is>
          <t>OAuth Authorization Server</t>
        </is>
      </c>
      <c r="C20" s="18" t="inlineStr">
        <is>
          <t>V10.4.5</t>
        </is>
      </c>
      <c r="D20" s="19"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5" t="n">
        <v>1</v>
      </c>
      <c r="F20" s="21" t="inlineStr">
        <is>
          <t>Not Started</t>
        </is>
      </c>
      <c r="G20" s="19" t="n"/>
      <c r="H20" s="19" t="n"/>
    </row>
    <row r="21" ht="30" customHeight="1">
      <c r="A21" s="22" t="inlineStr">
        <is>
          <t>V10.4</t>
        </is>
      </c>
      <c r="B21" s="22" t="inlineStr">
        <is>
          <t>OAuth Authorization Server</t>
        </is>
      </c>
      <c r="C21" s="23" t="inlineStr">
        <is>
          <t>V10.4.6</t>
        </is>
      </c>
      <c r="D21" s="24"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20" t="n">
        <v>2</v>
      </c>
      <c r="F21" s="21" t="inlineStr">
        <is>
          <t>Not Started</t>
        </is>
      </c>
      <c r="G21" s="24" t="n"/>
      <c r="H21" s="24" t="n"/>
    </row>
    <row r="22" ht="30" customHeight="1">
      <c r="A22" s="17" t="inlineStr">
        <is>
          <t>V10.4</t>
        </is>
      </c>
      <c r="B22" s="17" t="inlineStr">
        <is>
          <t>OAuth Authorization Server</t>
        </is>
      </c>
      <c r="C22" s="18" t="inlineStr">
        <is>
          <t>V10.4.7</t>
        </is>
      </c>
      <c r="D22" s="19"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20" t="n">
        <v>2</v>
      </c>
      <c r="F22" s="21" t="inlineStr">
        <is>
          <t>Not Started</t>
        </is>
      </c>
      <c r="G22" s="19" t="n"/>
      <c r="H22" s="19" t="n"/>
    </row>
    <row r="23" ht="30" customHeight="1">
      <c r="A23" s="22" t="inlineStr">
        <is>
          <t>V10.4</t>
        </is>
      </c>
      <c r="B23" s="22" t="inlineStr">
        <is>
          <t>OAuth Authorization Server</t>
        </is>
      </c>
      <c r="C23" s="23" t="inlineStr">
        <is>
          <t>V10.4.8</t>
        </is>
      </c>
      <c r="D23" s="24" t="inlineStr">
        <is>
          <t>Verify that refresh tokens have an absolute expiration, including if sliding refresh token expiration is applied.</t>
        </is>
      </c>
      <c r="E23" s="20" t="n">
        <v>2</v>
      </c>
      <c r="F23" s="21" t="inlineStr">
        <is>
          <t>Not Started</t>
        </is>
      </c>
      <c r="G23" s="24" t="n"/>
      <c r="H23" s="24" t="n"/>
    </row>
    <row r="24" ht="30" customHeight="1">
      <c r="A24" s="17" t="inlineStr">
        <is>
          <t>V10.4</t>
        </is>
      </c>
      <c r="B24" s="17" t="inlineStr">
        <is>
          <t>OAuth Authorization Server</t>
        </is>
      </c>
      <c r="C24" s="18" t="inlineStr">
        <is>
          <t>V10.4.9</t>
        </is>
      </c>
      <c r="D24" s="19" t="inlineStr">
        <is>
          <t>Verify that refresh tokens and reference access tokens can be revoked by an authorized user using the authorization server user interface, to mitigate the risk of malicious clients or stolen tokens.</t>
        </is>
      </c>
      <c r="E24" s="20" t="n">
        <v>2</v>
      </c>
      <c r="F24" s="21" t="inlineStr">
        <is>
          <t>Not Started</t>
        </is>
      </c>
      <c r="G24" s="19" t="n"/>
      <c r="H24" s="19" t="n"/>
    </row>
    <row r="25" ht="30" customHeight="1">
      <c r="A25" s="22" t="inlineStr">
        <is>
          <t>V10.4</t>
        </is>
      </c>
      <c r="B25" s="22" t="inlineStr">
        <is>
          <t>OAuth Authorization Server</t>
        </is>
      </c>
      <c r="C25" s="23" t="inlineStr">
        <is>
          <t>V10.4.10</t>
        </is>
      </c>
      <c r="D25" s="24" t="inlineStr">
        <is>
          <t>Verify that confidential client is authenticated for client-to-authorized server backchannel requests such as token requests, pushed authorization requests (PAR), and token revocation requests.</t>
        </is>
      </c>
      <c r="E25" s="20" t="n">
        <v>2</v>
      </c>
      <c r="F25" s="21" t="inlineStr">
        <is>
          <t>Not Started</t>
        </is>
      </c>
      <c r="G25" s="24" t="n"/>
      <c r="H25" s="24" t="n"/>
    </row>
    <row r="26" ht="30" customHeight="1">
      <c r="A26" s="17" t="inlineStr">
        <is>
          <t>V10.4</t>
        </is>
      </c>
      <c r="B26" s="17" t="inlineStr">
        <is>
          <t>OAuth Authorization Server</t>
        </is>
      </c>
      <c r="C26" s="18" t="inlineStr">
        <is>
          <t>V10.4.11</t>
        </is>
      </c>
      <c r="D26" s="19" t="inlineStr">
        <is>
          <t>Verify that the authorization server configuration only assigns the required scopes to the OAuth client.</t>
        </is>
      </c>
      <c r="E26" s="20" t="n">
        <v>2</v>
      </c>
      <c r="F26" s="21" t="inlineStr">
        <is>
          <t>Not Started</t>
        </is>
      </c>
      <c r="G26" s="19" t="n"/>
      <c r="H26" s="19" t="n"/>
    </row>
    <row r="27" ht="30" customHeight="1">
      <c r="A27" s="22" t="inlineStr">
        <is>
          <t>V10.4</t>
        </is>
      </c>
      <c r="B27" s="22" t="inlineStr">
        <is>
          <t>OAuth Authorization Server</t>
        </is>
      </c>
      <c r="C27" s="23" t="inlineStr">
        <is>
          <t>V10.4.12</t>
        </is>
      </c>
      <c r="D27" s="24"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6" t="n">
        <v>3</v>
      </c>
      <c r="F27" s="21" t="inlineStr">
        <is>
          <t>Not Started</t>
        </is>
      </c>
      <c r="G27" s="24" t="n"/>
      <c r="H27" s="24" t="n"/>
    </row>
    <row r="28" ht="30" customHeight="1">
      <c r="A28" s="17" t="inlineStr">
        <is>
          <t>V10.4</t>
        </is>
      </c>
      <c r="B28" s="17" t="inlineStr">
        <is>
          <t>OAuth Authorization Server</t>
        </is>
      </c>
      <c r="C28" s="18" t="inlineStr">
        <is>
          <t>V10.4.13</t>
        </is>
      </c>
      <c r="D28" s="19" t="inlineStr">
        <is>
          <t>Verify that grant type 'code' is always used together with pushed authorization requests (PAR).</t>
        </is>
      </c>
      <c r="E28" s="26" t="n">
        <v>3</v>
      </c>
      <c r="F28" s="21" t="inlineStr">
        <is>
          <t>Not Started</t>
        </is>
      </c>
      <c r="G28" s="19" t="n"/>
      <c r="H28" s="19" t="n"/>
    </row>
    <row r="29" ht="30" customHeight="1">
      <c r="A29" s="22" t="inlineStr">
        <is>
          <t>V10.4</t>
        </is>
      </c>
      <c r="B29" s="22" t="inlineStr">
        <is>
          <t>OAuth Authorization Server</t>
        </is>
      </c>
      <c r="C29" s="23" t="inlineStr">
        <is>
          <t>V10.4.14</t>
        </is>
      </c>
      <c r="D29" s="24" t="inlineStr">
        <is>
          <t>Verify that the authorization server issues only sender-constrained (Proof-of-Possession) access tokens, either with certificate-bound access tokens using mutual TLS (mTLS) or DPoP-bound access tokens (Demonstration of Proof of Possession).</t>
        </is>
      </c>
      <c r="E29" s="26" t="n">
        <v>3</v>
      </c>
      <c r="F29" s="21" t="inlineStr">
        <is>
          <t>Not Started</t>
        </is>
      </c>
      <c r="G29" s="24" t="n"/>
      <c r="H29" s="24" t="n"/>
    </row>
    <row r="30" ht="30" customHeight="1">
      <c r="A30" s="17" t="inlineStr">
        <is>
          <t>V10.4</t>
        </is>
      </c>
      <c r="B30" s="17" t="inlineStr">
        <is>
          <t>OAuth Authorization Server</t>
        </is>
      </c>
      <c r="C30" s="18" t="inlineStr">
        <is>
          <t>V10.4.15</t>
        </is>
      </c>
      <c r="D30" s="19"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6" t="n">
        <v>3</v>
      </c>
      <c r="F30" s="21" t="inlineStr">
        <is>
          <t>Not Started</t>
        </is>
      </c>
      <c r="G30" s="19" t="n"/>
      <c r="H30" s="19" t="n"/>
    </row>
    <row r="31" ht="30" customHeight="1">
      <c r="A31" s="22" t="inlineStr">
        <is>
          <t>V10.4</t>
        </is>
      </c>
      <c r="B31" s="22" t="inlineStr">
        <is>
          <t>OAuth Authorization Server</t>
        </is>
      </c>
      <c r="C31" s="23" t="inlineStr">
        <is>
          <t>V10.4.16</t>
        </is>
      </c>
      <c r="D31" s="24"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6" t="n">
        <v>3</v>
      </c>
      <c r="F31" s="21" t="inlineStr">
        <is>
          <t>Not Started</t>
        </is>
      </c>
      <c r="G31" s="24" t="n"/>
      <c r="H31" s="24" t="n"/>
    </row>
    <row r="32" ht="18" customHeight="1">
      <c r="A32" s="16" t="inlineStr">
        <is>
          <t>V10.5</t>
        </is>
      </c>
      <c r="B32" s="16" t="inlineStr">
        <is>
          <t>OIDC Client</t>
        </is>
      </c>
      <c r="C32" s="16" t="n"/>
      <c r="D32" s="16" t="n"/>
      <c r="E32" s="16" t="n"/>
      <c r="F32" s="16" t="n"/>
      <c r="G32" s="16" t="n"/>
      <c r="H32" s="16" t="n"/>
    </row>
    <row r="33" ht="30" customHeight="1">
      <c r="A33" s="17" t="inlineStr">
        <is>
          <t>V10.5</t>
        </is>
      </c>
      <c r="B33" s="17" t="inlineStr">
        <is>
          <t>OIDC Client</t>
        </is>
      </c>
      <c r="C33" s="18" t="inlineStr">
        <is>
          <t>V10.5.1</t>
        </is>
      </c>
      <c r="D33" s="19"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20" t="n">
        <v>2</v>
      </c>
      <c r="F33" s="21" t="inlineStr">
        <is>
          <t>Not Started</t>
        </is>
      </c>
      <c r="G33" s="19" t="n"/>
      <c r="H33" s="19" t="n"/>
    </row>
    <row r="34" ht="30" customHeight="1">
      <c r="A34" s="22" t="inlineStr">
        <is>
          <t>V10.5</t>
        </is>
      </c>
      <c r="B34" s="22" t="inlineStr">
        <is>
          <t>OIDC Client</t>
        </is>
      </c>
      <c r="C34" s="23" t="inlineStr">
        <is>
          <t>V10.5.2</t>
        </is>
      </c>
      <c r="D34" s="24" t="inlineStr">
        <is>
          <t>Verify that the client uniquely identifies the user from ID Token claims, usually the 'sub' claim, which cannot be reassigned to other users (for the scope of an identity provider).</t>
        </is>
      </c>
      <c r="E34" s="20" t="n">
        <v>2</v>
      </c>
      <c r="F34" s="21" t="inlineStr">
        <is>
          <t>Not Started</t>
        </is>
      </c>
      <c r="G34" s="24" t="n"/>
      <c r="H34" s="24" t="n"/>
    </row>
    <row r="35" ht="30" customHeight="1">
      <c r="A35" s="17" t="inlineStr">
        <is>
          <t>V10.5</t>
        </is>
      </c>
      <c r="B35" s="17" t="inlineStr">
        <is>
          <t>OIDC Client</t>
        </is>
      </c>
      <c r="C35" s="18" t="inlineStr">
        <is>
          <t>V10.5.3</t>
        </is>
      </c>
      <c r="D35" s="19"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20" t="n">
        <v>2</v>
      </c>
      <c r="F35" s="21" t="inlineStr">
        <is>
          <t>Not Started</t>
        </is>
      </c>
      <c r="G35" s="19" t="n"/>
      <c r="H35" s="19" t="n"/>
    </row>
    <row r="36" ht="30" customHeight="1">
      <c r="A36" s="22" t="inlineStr">
        <is>
          <t>V10.5</t>
        </is>
      </c>
      <c r="B36" s="22" t="inlineStr">
        <is>
          <t>OIDC Client</t>
        </is>
      </c>
      <c r="C36" s="23" t="inlineStr">
        <is>
          <t>V10.5.4</t>
        </is>
      </c>
      <c r="D36" s="24" t="inlineStr">
        <is>
          <t>Verify that the client validates that the ID Token is intended to be used for that client (audience) by checking that the 'aud' claim from the token is equal to the 'client_id' value for the client.</t>
        </is>
      </c>
      <c r="E36" s="20" t="n">
        <v>2</v>
      </c>
      <c r="F36" s="21" t="inlineStr">
        <is>
          <t>Not Started</t>
        </is>
      </c>
      <c r="G36" s="24" t="n"/>
      <c r="H36" s="24" t="n"/>
    </row>
    <row r="37" ht="30" customHeight="1">
      <c r="A37" s="17" t="inlineStr">
        <is>
          <t>V10.5</t>
        </is>
      </c>
      <c r="B37" s="17" t="inlineStr">
        <is>
          <t>OIDC Client</t>
        </is>
      </c>
      <c r="C37" s="18" t="inlineStr">
        <is>
          <t>V10.5.5</t>
        </is>
      </c>
      <c r="D37" s="19"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20" t="n">
        <v>2</v>
      </c>
      <c r="F37" s="21" t="inlineStr">
        <is>
          <t>Not Started</t>
        </is>
      </c>
      <c r="G37" s="19" t="n"/>
      <c r="H37" s="19" t="n"/>
    </row>
    <row r="38" ht="18" customHeight="1">
      <c r="A38" s="16" t="inlineStr">
        <is>
          <t>V10.6</t>
        </is>
      </c>
      <c r="B38" s="16" t="inlineStr">
        <is>
          <t>OpenID Provider</t>
        </is>
      </c>
      <c r="C38" s="16" t="n"/>
      <c r="D38" s="16" t="n"/>
      <c r="E38" s="16" t="n"/>
      <c r="F38" s="16" t="n"/>
      <c r="G38" s="16" t="n"/>
      <c r="H38" s="16" t="n"/>
    </row>
    <row r="39" ht="30" customHeight="1">
      <c r="A39" s="17" t="inlineStr">
        <is>
          <t>V10.6</t>
        </is>
      </c>
      <c r="B39" s="17" t="inlineStr">
        <is>
          <t>OpenID Provider</t>
        </is>
      </c>
      <c r="C39" s="18" t="inlineStr">
        <is>
          <t>V10.6.1</t>
        </is>
      </c>
      <c r="D39" s="19" t="inlineStr">
        <is>
          <t>Verify that the OpenID Provider only allows values 'code', 'ciba', 'id_token', or 'id_token code' for response mode. Note that 'code' is preferred over 'id_token code' (the OIDC Hybrid flow), and 'token' (any Implicit flow) must not be used.</t>
        </is>
      </c>
      <c r="E39" s="20" t="n">
        <v>2</v>
      </c>
      <c r="F39" s="21" t="inlineStr">
        <is>
          <t>Not Started</t>
        </is>
      </c>
      <c r="G39" s="19" t="n"/>
      <c r="H39" s="19" t="n"/>
    </row>
    <row r="40" ht="30" customHeight="1">
      <c r="A40" s="22" t="inlineStr">
        <is>
          <t>V10.6</t>
        </is>
      </c>
      <c r="B40" s="22" t="inlineStr">
        <is>
          <t>OpenID Provider</t>
        </is>
      </c>
      <c r="C40" s="23" t="inlineStr">
        <is>
          <t>V10.6.2</t>
        </is>
      </c>
      <c r="D40" s="24" t="inlineStr">
        <is>
          <t>Verify that the OpenID Provider mitigates denial of service through forced logout. By obtaining explicit confirmation from the end-user or, if present, validating parameters in the logout request (initiated by the relying party), such as the 'id_token_hint'.</t>
        </is>
      </c>
      <c r="E40" s="20" t="n">
        <v>2</v>
      </c>
      <c r="F40" s="21" t="inlineStr">
        <is>
          <t>Not Started</t>
        </is>
      </c>
      <c r="G40" s="24" t="n"/>
      <c r="H40" s="24" t="n"/>
    </row>
    <row r="41" ht="18" customHeight="1">
      <c r="A41" s="16" t="inlineStr">
        <is>
          <t>V10.7</t>
        </is>
      </c>
      <c r="B41" s="16" t="inlineStr">
        <is>
          <t>Consent Management</t>
        </is>
      </c>
      <c r="C41" s="16" t="n"/>
      <c r="D41" s="16" t="n"/>
      <c r="E41" s="16" t="n"/>
      <c r="F41" s="16" t="n"/>
      <c r="G41" s="16" t="n"/>
      <c r="H41" s="16" t="n"/>
    </row>
    <row r="42" ht="30" customHeight="1">
      <c r="A42" s="17" t="inlineStr">
        <is>
          <t>V10.7</t>
        </is>
      </c>
      <c r="B42" s="17" t="inlineStr">
        <is>
          <t>Consent Management</t>
        </is>
      </c>
      <c r="C42" s="18" t="inlineStr">
        <is>
          <t>V10.7.1</t>
        </is>
      </c>
      <c r="D42" s="19" t="inlineStr">
        <is>
          <t>Verify that the authorization server ensures that the user consents to each authorization request. If the identity of the client cannot be assured, the authorization server must always explicitly prompt the user for consent.</t>
        </is>
      </c>
      <c r="E42" s="20" t="n">
        <v>2</v>
      </c>
      <c r="F42" s="21" t="inlineStr">
        <is>
          <t>Not Started</t>
        </is>
      </c>
      <c r="G42" s="19" t="n"/>
      <c r="H42" s="19" t="n"/>
    </row>
    <row r="43" ht="30" customHeight="1">
      <c r="A43" s="22" t="inlineStr">
        <is>
          <t>V10.7</t>
        </is>
      </c>
      <c r="B43" s="22" t="inlineStr">
        <is>
          <t>Consent Management</t>
        </is>
      </c>
      <c r="C43" s="23" t="inlineStr">
        <is>
          <t>V10.7.2</t>
        </is>
      </c>
      <c r="D43" s="24"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20" t="n">
        <v>2</v>
      </c>
      <c r="F43" s="21" t="inlineStr">
        <is>
          <t>Not Started</t>
        </is>
      </c>
      <c r="G43" s="24" t="n"/>
      <c r="H43" s="24" t="n"/>
    </row>
    <row r="44" ht="30" customHeight="1">
      <c r="A44" s="17" t="inlineStr">
        <is>
          <t>V10.7</t>
        </is>
      </c>
      <c r="B44" s="17" t="inlineStr">
        <is>
          <t>Consent Management</t>
        </is>
      </c>
      <c r="C44" s="18" t="inlineStr">
        <is>
          <t>V10.7.3</t>
        </is>
      </c>
      <c r="D44" s="19" t="inlineStr">
        <is>
          <t>Verify that the user can review, modify, and revoke consents which the user has granted through the authorization server.</t>
        </is>
      </c>
      <c r="E44" s="20" t="n">
        <v>2</v>
      </c>
      <c r="F44" s="21" t="inlineStr">
        <is>
          <t>Not Started</t>
        </is>
      </c>
      <c r="G44" s="19" t="n"/>
      <c r="H44" s="19" t="n"/>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V11.1</t>
        </is>
      </c>
      <c r="B2" s="16" t="inlineStr">
        <is>
          <t>Cryptographic Inventory and Documentation</t>
        </is>
      </c>
      <c r="C2" s="16" t="n"/>
      <c r="D2" s="16" t="n"/>
      <c r="E2" s="16" t="n"/>
      <c r="F2" s="16" t="n"/>
      <c r="G2" s="16" t="n"/>
      <c r="H2" s="16" t="n"/>
    </row>
    <row r="3" ht="30" customHeight="1">
      <c r="A3" s="17" t="inlineStr">
        <is>
          <t>V11.1</t>
        </is>
      </c>
      <c r="B3" s="17" t="inlineStr">
        <is>
          <t>Cryptographic Inventory and Documentation</t>
        </is>
      </c>
      <c r="C3" s="18" t="inlineStr">
        <is>
          <t>V11.1.1</t>
        </is>
      </c>
      <c r="D3" s="19"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20" t="n">
        <v>2</v>
      </c>
      <c r="F3" s="21" t="inlineStr">
        <is>
          <t>Not Started</t>
        </is>
      </c>
      <c r="G3" s="19" t="n"/>
      <c r="H3" s="19" t="n"/>
    </row>
    <row r="4" ht="30" customHeight="1">
      <c r="A4" s="22" t="inlineStr">
        <is>
          <t>V11.1</t>
        </is>
      </c>
      <c r="B4" s="22" t="inlineStr">
        <is>
          <t>Cryptographic Inventory and Documentation</t>
        </is>
      </c>
      <c r="C4" s="23" t="inlineStr">
        <is>
          <t>V11.1.2</t>
        </is>
      </c>
      <c r="D4" s="24"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20" t="n">
        <v>2</v>
      </c>
      <c r="F4" s="21" t="inlineStr">
        <is>
          <t>Not Started</t>
        </is>
      </c>
      <c r="G4" s="24" t="n"/>
      <c r="H4" s="24" t="n"/>
    </row>
    <row r="5" ht="30" customHeight="1">
      <c r="A5" s="17" t="inlineStr">
        <is>
          <t>V11.1</t>
        </is>
      </c>
      <c r="B5" s="17" t="inlineStr">
        <is>
          <t>Cryptographic Inventory and Documentation</t>
        </is>
      </c>
      <c r="C5" s="18" t="inlineStr">
        <is>
          <t>V11.1.3</t>
        </is>
      </c>
      <c r="D5" s="19" t="inlineStr">
        <is>
          <t>Verify that cryptographic discovery mechanisms are employed to identify all instances of cryptography in the system, including encryption, hashing, and signing operations.</t>
        </is>
      </c>
      <c r="E5" s="26" t="n">
        <v>3</v>
      </c>
      <c r="F5" s="21" t="inlineStr">
        <is>
          <t>Not Started</t>
        </is>
      </c>
      <c r="G5" s="19" t="n"/>
      <c r="H5" s="19" t="n"/>
    </row>
    <row r="6" ht="30" customHeight="1">
      <c r="A6" s="22" t="inlineStr">
        <is>
          <t>V11.1</t>
        </is>
      </c>
      <c r="B6" s="22" t="inlineStr">
        <is>
          <t>Cryptographic Inventory and Documentation</t>
        </is>
      </c>
      <c r="C6" s="23" t="inlineStr">
        <is>
          <t>V11.1.4</t>
        </is>
      </c>
      <c r="D6" s="24" t="inlineStr">
        <is>
          <t>Verify that a cryptographic inventory is maintained. This must include a documented plan that outlines the migration path to new cryptographic standards, such as post-quantum cryptography, in order to react to future threats.</t>
        </is>
      </c>
      <c r="E6" s="26" t="n">
        <v>3</v>
      </c>
      <c r="F6" s="21" t="inlineStr">
        <is>
          <t>Not Started</t>
        </is>
      </c>
      <c r="G6" s="24" t="n"/>
      <c r="H6" s="24" t="n"/>
    </row>
    <row r="7" ht="18" customHeight="1">
      <c r="A7" s="16" t="inlineStr">
        <is>
          <t>V11.2</t>
        </is>
      </c>
      <c r="B7" s="16" t="inlineStr">
        <is>
          <t>Secure Cryptography Implementation</t>
        </is>
      </c>
      <c r="C7" s="16" t="n"/>
      <c r="D7" s="16" t="n"/>
      <c r="E7" s="16" t="n"/>
      <c r="F7" s="16" t="n"/>
      <c r="G7" s="16" t="n"/>
      <c r="H7" s="16" t="n"/>
    </row>
    <row r="8" ht="30" customHeight="1">
      <c r="A8" s="17" t="inlineStr">
        <is>
          <t>V11.2</t>
        </is>
      </c>
      <c r="B8" s="17" t="inlineStr">
        <is>
          <t>Secure Cryptography Implementation</t>
        </is>
      </c>
      <c r="C8" s="18" t="inlineStr">
        <is>
          <t>V11.2.1</t>
        </is>
      </c>
      <c r="D8" s="19" t="inlineStr">
        <is>
          <t>Verify that industry-validated implementations (including libraries and hardware-accelerated implementations) are used for cryptographic operations.</t>
        </is>
      </c>
      <c r="E8" s="20" t="n">
        <v>2</v>
      </c>
      <c r="F8" s="21" t="inlineStr">
        <is>
          <t>Not Started</t>
        </is>
      </c>
      <c r="G8" s="19" t="n"/>
      <c r="H8" s="19" t="n"/>
    </row>
    <row r="9" ht="30" customHeight="1">
      <c r="A9" s="22" t="inlineStr">
        <is>
          <t>V11.2</t>
        </is>
      </c>
      <c r="B9" s="22" t="inlineStr">
        <is>
          <t>Secure Cryptography Implementation</t>
        </is>
      </c>
      <c r="C9" s="23" t="inlineStr">
        <is>
          <t>V11.2.2</t>
        </is>
      </c>
      <c r="D9" s="24"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20" t="n">
        <v>2</v>
      </c>
      <c r="F9" s="21" t="inlineStr">
        <is>
          <t>Not Started</t>
        </is>
      </c>
      <c r="G9" s="24" t="n"/>
      <c r="H9" s="24" t="n"/>
    </row>
    <row r="10" ht="30" customHeight="1">
      <c r="A10" s="17" t="inlineStr">
        <is>
          <t>V11.2</t>
        </is>
      </c>
      <c r="B10" s="17" t="inlineStr">
        <is>
          <t>Secure Cryptography Implementation</t>
        </is>
      </c>
      <c r="C10" s="18" t="inlineStr">
        <is>
          <t>V11.2.3</t>
        </is>
      </c>
      <c r="D10" s="19"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20" t="n">
        <v>2</v>
      </c>
      <c r="F10" s="21" t="inlineStr">
        <is>
          <t>Not Started</t>
        </is>
      </c>
      <c r="G10" s="19" t="n"/>
      <c r="H10" s="19" t="n"/>
    </row>
    <row r="11" ht="30" customHeight="1">
      <c r="A11" s="22" t="inlineStr">
        <is>
          <t>V11.2</t>
        </is>
      </c>
      <c r="B11" s="22" t="inlineStr">
        <is>
          <t>Secure Cryptography Implementation</t>
        </is>
      </c>
      <c r="C11" s="23" t="inlineStr">
        <is>
          <t>V11.2.4</t>
        </is>
      </c>
      <c r="D11" s="24" t="inlineStr">
        <is>
          <t>Verify that all cryptographic operations are constant-time, with no 'short-circuit' operations in comparisons, calculations, or returns, to avoid leaking information.</t>
        </is>
      </c>
      <c r="E11" s="26" t="n">
        <v>3</v>
      </c>
      <c r="F11" s="21" t="inlineStr">
        <is>
          <t>Not Started</t>
        </is>
      </c>
      <c r="G11" s="24" t="n"/>
      <c r="H11" s="24" t="n"/>
    </row>
    <row r="12" ht="30" customHeight="1">
      <c r="A12" s="17" t="inlineStr">
        <is>
          <t>V11.2</t>
        </is>
      </c>
      <c r="B12" s="17" t="inlineStr">
        <is>
          <t>Secure Cryptography Implementation</t>
        </is>
      </c>
      <c r="C12" s="18" t="inlineStr">
        <is>
          <t>V11.2.5</t>
        </is>
      </c>
      <c r="D12" s="19" t="inlineStr">
        <is>
          <t>Verify that all cryptographic modules fail securely, and errors are handled in a way that does not enable vulnerabilities, such as Padding Oracle attacks.</t>
        </is>
      </c>
      <c r="E12" s="26" t="n">
        <v>3</v>
      </c>
      <c r="F12" s="21" t="inlineStr">
        <is>
          <t>Not Started</t>
        </is>
      </c>
      <c r="G12" s="19" t="n"/>
      <c r="H12" s="19" t="n"/>
    </row>
    <row r="13" ht="18" customHeight="1">
      <c r="A13" s="16" t="inlineStr">
        <is>
          <t>V11.3</t>
        </is>
      </c>
      <c r="B13" s="16" t="inlineStr">
        <is>
          <t>Encryption Algorithms</t>
        </is>
      </c>
      <c r="C13" s="16" t="n"/>
      <c r="D13" s="16" t="n"/>
      <c r="E13" s="16" t="n"/>
      <c r="F13" s="16" t="n"/>
      <c r="G13" s="16" t="n"/>
      <c r="H13" s="16" t="n"/>
    </row>
    <row r="14" ht="30" customHeight="1">
      <c r="A14" s="17" t="inlineStr">
        <is>
          <t>V11.3</t>
        </is>
      </c>
      <c r="B14" s="17" t="inlineStr">
        <is>
          <t>Encryption Algorithms</t>
        </is>
      </c>
      <c r="C14" s="18" t="inlineStr">
        <is>
          <t>V11.3.1</t>
        </is>
      </c>
      <c r="D14" s="19" t="inlineStr">
        <is>
          <t>Verify that insecure block modes (e.g., ECB) and weak padding schemes (e.g., PKCS#1 v1.5) are not used.</t>
        </is>
      </c>
      <c r="E14" s="25" t="n">
        <v>1</v>
      </c>
      <c r="F14" s="21" t="inlineStr">
        <is>
          <t>Not Started</t>
        </is>
      </c>
      <c r="G14" s="19" t="n"/>
      <c r="H14" s="19" t="n"/>
    </row>
    <row r="15" ht="30" customHeight="1">
      <c r="A15" s="22" t="inlineStr">
        <is>
          <t>V11.3</t>
        </is>
      </c>
      <c r="B15" s="22" t="inlineStr">
        <is>
          <t>Encryption Algorithms</t>
        </is>
      </c>
      <c r="C15" s="23" t="inlineStr">
        <is>
          <t>V11.3.2</t>
        </is>
      </c>
      <c r="D15" s="24" t="inlineStr">
        <is>
          <t>Verify that only approved ciphers and modes such as AES with GCM are used.</t>
        </is>
      </c>
      <c r="E15" s="25" t="n">
        <v>1</v>
      </c>
      <c r="F15" s="21" t="inlineStr">
        <is>
          <t>Not Started</t>
        </is>
      </c>
      <c r="G15" s="24" t="n"/>
      <c r="H15" s="24" t="n"/>
    </row>
    <row r="16" ht="30" customHeight="1">
      <c r="A16" s="17" t="inlineStr">
        <is>
          <t>V11.3</t>
        </is>
      </c>
      <c r="B16" s="17" t="inlineStr">
        <is>
          <t>Encryption Algorithms</t>
        </is>
      </c>
      <c r="C16" s="18" t="inlineStr">
        <is>
          <t>V11.3.3</t>
        </is>
      </c>
      <c r="D16" s="19" t="inlineStr">
        <is>
          <t>Verify that encrypted data is protected against unauthorized modification preferably by using an approved authenticated encryption method or by combining an approved encryption method with an approved MAC algorithm.</t>
        </is>
      </c>
      <c r="E16" s="20" t="n">
        <v>2</v>
      </c>
      <c r="F16" s="21" t="inlineStr">
        <is>
          <t>Not Started</t>
        </is>
      </c>
      <c r="G16" s="19" t="n"/>
      <c r="H16" s="19" t="n"/>
    </row>
    <row r="17" ht="30" customHeight="1">
      <c r="A17" s="22" t="inlineStr">
        <is>
          <t>V11.3</t>
        </is>
      </c>
      <c r="B17" s="22" t="inlineStr">
        <is>
          <t>Encryption Algorithms</t>
        </is>
      </c>
      <c r="C17" s="23" t="inlineStr">
        <is>
          <t>V11.3.4</t>
        </is>
      </c>
      <c r="D17" s="24" t="inlineStr">
        <is>
          <t>Verify that nonces, initialization vectors, and other single-use numbers are not used for more than one encryption key and data-element pair. The method of generation must be appropriate for the algorithm being used.</t>
        </is>
      </c>
      <c r="E17" s="26" t="n">
        <v>3</v>
      </c>
      <c r="F17" s="21" t="inlineStr">
        <is>
          <t>Not Started</t>
        </is>
      </c>
      <c r="G17" s="24" t="n"/>
      <c r="H17" s="24" t="n"/>
    </row>
    <row r="18" ht="30" customHeight="1">
      <c r="A18" s="17" t="inlineStr">
        <is>
          <t>V11.3</t>
        </is>
      </c>
      <c r="B18" s="17" t="inlineStr">
        <is>
          <t>Encryption Algorithms</t>
        </is>
      </c>
      <c r="C18" s="18" t="inlineStr">
        <is>
          <t>V11.3.5</t>
        </is>
      </c>
      <c r="D18" s="19" t="inlineStr">
        <is>
          <t>Verify that any combination of an encryption algorithm and a MAC algorithm is operating in encrypt-then-MAC mode.</t>
        </is>
      </c>
      <c r="E18" s="26" t="n">
        <v>3</v>
      </c>
      <c r="F18" s="21" t="inlineStr">
        <is>
          <t>Not Started</t>
        </is>
      </c>
      <c r="G18" s="19" t="n"/>
      <c r="H18" s="19" t="n"/>
    </row>
    <row r="19" ht="18" customHeight="1">
      <c r="A19" s="16" t="inlineStr">
        <is>
          <t>V11.4</t>
        </is>
      </c>
      <c r="B19" s="16" t="inlineStr">
        <is>
          <t>Hashing and Hash-based Functions</t>
        </is>
      </c>
      <c r="C19" s="16" t="n"/>
      <c r="D19" s="16" t="n"/>
      <c r="E19" s="16" t="n"/>
      <c r="F19" s="16" t="n"/>
      <c r="G19" s="16" t="n"/>
      <c r="H19" s="16" t="n"/>
    </row>
    <row r="20" ht="30" customHeight="1">
      <c r="A20" s="17" t="inlineStr">
        <is>
          <t>V11.4</t>
        </is>
      </c>
      <c r="B20" s="17" t="inlineStr">
        <is>
          <t>Hashing and Hash-based Functions</t>
        </is>
      </c>
      <c r="C20" s="18" t="inlineStr">
        <is>
          <t>V11.4.1</t>
        </is>
      </c>
      <c r="D20" s="19" t="inlineStr">
        <is>
          <t>Verify that only approved hash functions are used for general cryptographic use cases, including digital signatures, HMAC, KDF, and random bit generation. Disallowed hash functions, such as MD5, must not be used for any cryptographic purpose.</t>
        </is>
      </c>
      <c r="E20" s="25" t="n">
        <v>1</v>
      </c>
      <c r="F20" s="21" t="inlineStr">
        <is>
          <t>Not Started</t>
        </is>
      </c>
      <c r="G20" s="19" t="n"/>
      <c r="H20" s="19" t="n"/>
    </row>
    <row r="21" ht="30" customHeight="1">
      <c r="A21" s="22" t="inlineStr">
        <is>
          <t>V11.4</t>
        </is>
      </c>
      <c r="B21" s="22" t="inlineStr">
        <is>
          <t>Hashing and Hash-based Functions</t>
        </is>
      </c>
      <c r="C21" s="23" t="inlineStr">
        <is>
          <t>V11.4.2</t>
        </is>
      </c>
      <c r="D21" s="24"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20" t="n">
        <v>2</v>
      </c>
      <c r="F21" s="21" t="inlineStr">
        <is>
          <t>Not Started</t>
        </is>
      </c>
      <c r="G21" s="24" t="n"/>
      <c r="H21" s="24" t="n"/>
    </row>
    <row r="22" ht="30" customHeight="1">
      <c r="A22" s="17" t="inlineStr">
        <is>
          <t>V11.4</t>
        </is>
      </c>
      <c r="B22" s="17" t="inlineStr">
        <is>
          <t>Hashing and Hash-based Functions</t>
        </is>
      </c>
      <c r="C22" s="18" t="inlineStr">
        <is>
          <t>V11.4.3</t>
        </is>
      </c>
      <c r="D22" s="19"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20" t="n">
        <v>2</v>
      </c>
      <c r="F22" s="21" t="inlineStr">
        <is>
          <t>Not Started</t>
        </is>
      </c>
      <c r="G22" s="19" t="n"/>
      <c r="H22" s="19" t="n"/>
    </row>
    <row r="23" ht="30" customHeight="1">
      <c r="A23" s="22" t="inlineStr">
        <is>
          <t>V11.4</t>
        </is>
      </c>
      <c r="B23" s="22" t="inlineStr">
        <is>
          <t>Hashing and Hash-based Functions</t>
        </is>
      </c>
      <c r="C23" s="23" t="inlineStr">
        <is>
          <t>V11.4.4</t>
        </is>
      </c>
      <c r="D23" s="24"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20" t="n">
        <v>2</v>
      </c>
      <c r="F23" s="21" t="inlineStr">
        <is>
          <t>Not Started</t>
        </is>
      </c>
      <c r="G23" s="24" t="n"/>
      <c r="H23" s="24" t="n"/>
    </row>
    <row r="24" ht="18" customHeight="1">
      <c r="A24" s="16" t="inlineStr">
        <is>
          <t>V11.5</t>
        </is>
      </c>
      <c r="B24" s="16" t="inlineStr">
        <is>
          <t>Random Values</t>
        </is>
      </c>
      <c r="C24" s="16" t="n"/>
      <c r="D24" s="16" t="n"/>
      <c r="E24" s="16" t="n"/>
      <c r="F24" s="16" t="n"/>
      <c r="G24" s="16" t="n"/>
      <c r="H24" s="16" t="n"/>
    </row>
    <row r="25" ht="30" customHeight="1">
      <c r="A25" s="17" t="inlineStr">
        <is>
          <t>V11.5</t>
        </is>
      </c>
      <c r="B25" s="17" t="inlineStr">
        <is>
          <t>Random Values</t>
        </is>
      </c>
      <c r="C25" s="18" t="inlineStr">
        <is>
          <t>V11.5.1</t>
        </is>
      </c>
      <c r="D25" s="19"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20" t="n">
        <v>2</v>
      </c>
      <c r="F25" s="21" t="inlineStr">
        <is>
          <t>Not Started</t>
        </is>
      </c>
      <c r="G25" s="19" t="n"/>
      <c r="H25" s="19" t="n"/>
    </row>
    <row r="26" ht="30" customHeight="1">
      <c r="A26" s="22" t="inlineStr">
        <is>
          <t>V11.5</t>
        </is>
      </c>
      <c r="B26" s="22" t="inlineStr">
        <is>
          <t>Random Values</t>
        </is>
      </c>
      <c r="C26" s="23" t="inlineStr">
        <is>
          <t>V11.5.2</t>
        </is>
      </c>
      <c r="D26" s="24" t="inlineStr">
        <is>
          <t>Verify that the random number generation mechanism in use is designed to work securely, even under heavy demand.</t>
        </is>
      </c>
      <c r="E26" s="26" t="n">
        <v>3</v>
      </c>
      <c r="F26" s="21" t="inlineStr">
        <is>
          <t>Not Started</t>
        </is>
      </c>
      <c r="G26" s="24" t="n"/>
      <c r="H26" s="24" t="n"/>
    </row>
    <row r="27" ht="18" customHeight="1">
      <c r="A27" s="16" t="inlineStr">
        <is>
          <t>V11.6</t>
        </is>
      </c>
      <c r="B27" s="16" t="inlineStr">
        <is>
          <t>Public Key Cryptography</t>
        </is>
      </c>
      <c r="C27" s="16" t="n"/>
      <c r="D27" s="16" t="n"/>
      <c r="E27" s="16" t="n"/>
      <c r="F27" s="16" t="n"/>
      <c r="G27" s="16" t="n"/>
      <c r="H27" s="16" t="n"/>
    </row>
    <row r="28" ht="30" customHeight="1">
      <c r="A28" s="17" t="inlineStr">
        <is>
          <t>V11.6</t>
        </is>
      </c>
      <c r="B28" s="17" t="inlineStr">
        <is>
          <t>Public Key Cryptography</t>
        </is>
      </c>
      <c r="C28" s="18" t="inlineStr">
        <is>
          <t>V11.6.1</t>
        </is>
      </c>
      <c r="D28" s="19"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20" t="n">
        <v>2</v>
      </c>
      <c r="F28" s="21" t="inlineStr">
        <is>
          <t>Not Started</t>
        </is>
      </c>
      <c r="G28" s="19" t="n"/>
      <c r="H28" s="19" t="n"/>
    </row>
    <row r="29" ht="30" customHeight="1">
      <c r="A29" s="22" t="inlineStr">
        <is>
          <t>V11.6</t>
        </is>
      </c>
      <c r="B29" s="22" t="inlineStr">
        <is>
          <t>Public Key Cryptography</t>
        </is>
      </c>
      <c r="C29" s="23" t="inlineStr">
        <is>
          <t>V11.6.2</t>
        </is>
      </c>
      <c r="D29" s="24"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6" t="n">
        <v>3</v>
      </c>
      <c r="F29" s="21" t="inlineStr">
        <is>
          <t>Not Started</t>
        </is>
      </c>
      <c r="G29" s="24" t="n"/>
      <c r="H29" s="24" t="n"/>
    </row>
    <row r="30" ht="18" customHeight="1">
      <c r="A30" s="16" t="inlineStr">
        <is>
          <t>V11.7</t>
        </is>
      </c>
      <c r="B30" s="16" t="inlineStr">
        <is>
          <t>In-Use Data Cryptography</t>
        </is>
      </c>
      <c r="C30" s="16" t="n"/>
      <c r="D30" s="16" t="n"/>
      <c r="E30" s="16" t="n"/>
      <c r="F30" s="16" t="n"/>
      <c r="G30" s="16" t="n"/>
      <c r="H30" s="16" t="n"/>
    </row>
    <row r="31" ht="30" customHeight="1">
      <c r="A31" s="17" t="inlineStr">
        <is>
          <t>V11.7</t>
        </is>
      </c>
      <c r="B31" s="17" t="inlineStr">
        <is>
          <t>In-Use Data Cryptography</t>
        </is>
      </c>
      <c r="C31" s="18" t="inlineStr">
        <is>
          <t>V11.7.1</t>
        </is>
      </c>
      <c r="D31" s="19" t="inlineStr">
        <is>
          <t>Verify that full memory encryption is in use that protects sensitive data while it is in use, preventing access by unauthorized users or processes.</t>
        </is>
      </c>
      <c r="E31" s="26" t="n">
        <v>3</v>
      </c>
      <c r="F31" s="21" t="inlineStr">
        <is>
          <t>Not Started</t>
        </is>
      </c>
      <c r="G31" s="19" t="n"/>
      <c r="H31" s="19" t="n"/>
    </row>
    <row r="32" ht="30" customHeight="1">
      <c r="A32" s="22" t="inlineStr">
        <is>
          <t>V11.7</t>
        </is>
      </c>
      <c r="B32" s="22" t="inlineStr">
        <is>
          <t>In-Use Data Cryptography</t>
        </is>
      </c>
      <c r="C32" s="23" t="inlineStr">
        <is>
          <t>V11.7.2</t>
        </is>
      </c>
      <c r="D32" s="24" t="inlineStr">
        <is>
          <t>Verify that data minimization ensures the minimal amount of data is exposed during processing, and ensure that data is encrypted immediately after use or as soon as feasible.</t>
        </is>
      </c>
      <c r="E32" s="26" t="n">
        <v>3</v>
      </c>
      <c r="F32" s="21" t="inlineStr">
        <is>
          <t>Not Started</t>
        </is>
      </c>
      <c r="G32" s="24" t="n"/>
      <c r="H32" s="24"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V12.1</t>
        </is>
      </c>
      <c r="B2" s="16" t="inlineStr">
        <is>
          <t>General TLS Security Guidance</t>
        </is>
      </c>
      <c r="C2" s="16" t="n"/>
      <c r="D2" s="16" t="n"/>
      <c r="E2" s="16" t="n"/>
      <c r="F2" s="16" t="n"/>
      <c r="G2" s="16" t="n"/>
      <c r="H2" s="16" t="n"/>
    </row>
    <row r="3" ht="30" customHeight="1">
      <c r="A3" s="17" t="inlineStr">
        <is>
          <t>V12.1</t>
        </is>
      </c>
      <c r="B3" s="17" t="inlineStr">
        <is>
          <t>General TLS Security Guidance</t>
        </is>
      </c>
      <c r="C3" s="18" t="inlineStr">
        <is>
          <t>V12.1.1</t>
        </is>
      </c>
      <c r="D3" s="19" t="inlineStr">
        <is>
          <t>Verify that only the latest recommended versions of the TLS protocol are enabled, such as TLS 1.2 and TLS 1.3. The latest version of the TLS protocol must be the preferred option.</t>
        </is>
      </c>
      <c r="E3" s="25" t="n">
        <v>1</v>
      </c>
      <c r="F3" s="21" t="inlineStr">
        <is>
          <t>Not Started</t>
        </is>
      </c>
      <c r="G3" s="19" t="n"/>
      <c r="H3" s="19" t="n"/>
    </row>
    <row r="4" ht="30" customHeight="1">
      <c r="A4" s="22" t="inlineStr">
        <is>
          <t>V12.1</t>
        </is>
      </c>
      <c r="B4" s="22" t="inlineStr">
        <is>
          <t>General TLS Security Guidance</t>
        </is>
      </c>
      <c r="C4" s="23" t="inlineStr">
        <is>
          <t>V12.1.2</t>
        </is>
      </c>
      <c r="D4" s="24" t="inlineStr">
        <is>
          <t>Verify that only recommended cipher suites are enabled, with the strongest cipher suites set as preferred. L3 applications must only support cipher suites which provide forward secrecy.</t>
        </is>
      </c>
      <c r="E4" s="20" t="n">
        <v>2</v>
      </c>
      <c r="F4" s="21" t="inlineStr">
        <is>
          <t>Not Started</t>
        </is>
      </c>
      <c r="G4" s="24" t="n"/>
      <c r="H4" s="24" t="n"/>
    </row>
    <row r="5" ht="30" customHeight="1">
      <c r="A5" s="17" t="inlineStr">
        <is>
          <t>V12.1</t>
        </is>
      </c>
      <c r="B5" s="17" t="inlineStr">
        <is>
          <t>General TLS Security Guidance</t>
        </is>
      </c>
      <c r="C5" s="18" t="inlineStr">
        <is>
          <t>V12.1.3</t>
        </is>
      </c>
      <c r="D5" s="19" t="inlineStr">
        <is>
          <t>Verify that the application validates that mTLS client certificates are trusted before using the certificate identity for authentication or authorization.</t>
        </is>
      </c>
      <c r="E5" s="20" t="n">
        <v>2</v>
      </c>
      <c r="F5" s="21" t="inlineStr">
        <is>
          <t>Not Started</t>
        </is>
      </c>
      <c r="G5" s="19" t="n"/>
      <c r="H5" s="19" t="n"/>
    </row>
    <row r="6" ht="30" customHeight="1">
      <c r="A6" s="22" t="inlineStr">
        <is>
          <t>V12.1</t>
        </is>
      </c>
      <c r="B6" s="22" t="inlineStr">
        <is>
          <t>General TLS Security Guidance</t>
        </is>
      </c>
      <c r="C6" s="23" t="inlineStr">
        <is>
          <t>V12.1.4</t>
        </is>
      </c>
      <c r="D6" s="24" t="inlineStr">
        <is>
          <t>Verify that proper certification revocation, such as Online Certificate Status Protocol (OCSP) Stapling, is enabled and configured.</t>
        </is>
      </c>
      <c r="E6" s="26" t="n">
        <v>3</v>
      </c>
      <c r="F6" s="21" t="inlineStr">
        <is>
          <t>Not Started</t>
        </is>
      </c>
      <c r="G6" s="24" t="n"/>
      <c r="H6" s="24" t="n"/>
    </row>
    <row r="7" ht="30" customHeight="1">
      <c r="A7" s="17" t="inlineStr">
        <is>
          <t>V12.1</t>
        </is>
      </c>
      <c r="B7" s="17" t="inlineStr">
        <is>
          <t>General TLS Security Guidance</t>
        </is>
      </c>
      <c r="C7" s="18" t="inlineStr">
        <is>
          <t>V12.1.5</t>
        </is>
      </c>
      <c r="D7" s="19" t="inlineStr">
        <is>
          <t>Verify that Encrypted Client Hello (ECH) is enabled in the application's TLS settings to prevent exposure of sensitive metadata, such as the Server Name Indication (SNI), during TLS handshake processes.</t>
        </is>
      </c>
      <c r="E7" s="26" t="n">
        <v>3</v>
      </c>
      <c r="F7" s="21" t="inlineStr">
        <is>
          <t>Not Started</t>
        </is>
      </c>
      <c r="G7" s="19" t="n"/>
      <c r="H7" s="19" t="n"/>
    </row>
    <row r="8" ht="18" customHeight="1">
      <c r="A8" s="16" t="inlineStr">
        <is>
          <t>V12.2</t>
        </is>
      </c>
      <c r="B8" s="16" t="inlineStr">
        <is>
          <t>HTTPS Communication with External Facing Services</t>
        </is>
      </c>
      <c r="C8" s="16" t="n"/>
      <c r="D8" s="16" t="n"/>
      <c r="E8" s="16" t="n"/>
      <c r="F8" s="16" t="n"/>
      <c r="G8" s="16" t="n"/>
      <c r="H8" s="16" t="n"/>
    </row>
    <row r="9" ht="30" customHeight="1">
      <c r="A9" s="17" t="inlineStr">
        <is>
          <t>V12.2</t>
        </is>
      </c>
      <c r="B9" s="17" t="inlineStr">
        <is>
          <t>HTTPS Communication with External Facing Services</t>
        </is>
      </c>
      <c r="C9" s="18" t="inlineStr">
        <is>
          <t>V12.2.1</t>
        </is>
      </c>
      <c r="D9" s="19" t="inlineStr">
        <is>
          <t>Verify that TLS is used for all connectivity between a client and external facing, HTTP-based services, and does not fall back to insecure or unencrypted communications.</t>
        </is>
      </c>
      <c r="E9" s="25" t="n">
        <v>1</v>
      </c>
      <c r="F9" s="21" t="inlineStr">
        <is>
          <t>Not Started</t>
        </is>
      </c>
      <c r="G9" s="19" t="n"/>
      <c r="H9" s="19" t="n"/>
    </row>
    <row r="10" ht="30" customHeight="1">
      <c r="A10" s="22" t="inlineStr">
        <is>
          <t>V12.2</t>
        </is>
      </c>
      <c r="B10" s="22" t="inlineStr">
        <is>
          <t>HTTPS Communication with External Facing Services</t>
        </is>
      </c>
      <c r="C10" s="23" t="inlineStr">
        <is>
          <t>V12.2.2</t>
        </is>
      </c>
      <c r="D10" s="24" t="inlineStr">
        <is>
          <t>Verify that external facing services use publicly trusted TLS certificates.</t>
        </is>
      </c>
      <c r="E10" s="25" t="n">
        <v>1</v>
      </c>
      <c r="F10" s="21" t="inlineStr">
        <is>
          <t>Not Started</t>
        </is>
      </c>
      <c r="G10" s="24" t="n"/>
      <c r="H10" s="24" t="n"/>
    </row>
    <row r="11" ht="18" customHeight="1">
      <c r="A11" s="16" t="inlineStr">
        <is>
          <t>V12.3</t>
        </is>
      </c>
      <c r="B11" s="16" t="inlineStr">
        <is>
          <t>General Service to Service Communication Security</t>
        </is>
      </c>
      <c r="C11" s="16" t="n"/>
      <c r="D11" s="16" t="n"/>
      <c r="E11" s="16" t="n"/>
      <c r="F11" s="16" t="n"/>
      <c r="G11" s="16" t="n"/>
      <c r="H11" s="16" t="n"/>
    </row>
    <row r="12" ht="30" customHeight="1">
      <c r="A12" s="17" t="inlineStr">
        <is>
          <t>V12.3</t>
        </is>
      </c>
      <c r="B12" s="17" t="inlineStr">
        <is>
          <t>General Service to Service Communication Security</t>
        </is>
      </c>
      <c r="C12" s="18" t="inlineStr">
        <is>
          <t>V12.3.1</t>
        </is>
      </c>
      <c r="D12" s="19"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20" t="n">
        <v>2</v>
      </c>
      <c r="F12" s="21" t="inlineStr">
        <is>
          <t>Not Started</t>
        </is>
      </c>
      <c r="G12" s="19" t="n"/>
      <c r="H12" s="19" t="n"/>
    </row>
    <row r="13" ht="30" customHeight="1">
      <c r="A13" s="22" t="inlineStr">
        <is>
          <t>V12.3</t>
        </is>
      </c>
      <c r="B13" s="22" t="inlineStr">
        <is>
          <t>General Service to Service Communication Security</t>
        </is>
      </c>
      <c r="C13" s="23" t="inlineStr">
        <is>
          <t>V12.3.2</t>
        </is>
      </c>
      <c r="D13" s="24" t="inlineStr">
        <is>
          <t>Verify that TLS clients validate certificates received before communicating with a TLS server.</t>
        </is>
      </c>
      <c r="E13" s="20" t="n">
        <v>2</v>
      </c>
      <c r="F13" s="21" t="inlineStr">
        <is>
          <t>Not Started</t>
        </is>
      </c>
      <c r="G13" s="24" t="n"/>
      <c r="H13" s="24" t="n"/>
    </row>
    <row r="14" ht="30" customHeight="1">
      <c r="A14" s="17" t="inlineStr">
        <is>
          <t>V12.3</t>
        </is>
      </c>
      <c r="B14" s="17" t="inlineStr">
        <is>
          <t>General Service to Service Communication Security</t>
        </is>
      </c>
      <c r="C14" s="18" t="inlineStr">
        <is>
          <t>V12.3.3</t>
        </is>
      </c>
      <c r="D14" s="19" t="inlineStr">
        <is>
          <t>Verify that TLS or another appropriate transport encryption mechanism used for all connectivity between internal, HTTP-based services within the application, and does not fall back to insecure or unencrypted communications.</t>
        </is>
      </c>
      <c r="E14" s="20" t="n">
        <v>2</v>
      </c>
      <c r="F14" s="21" t="inlineStr">
        <is>
          <t>Not Started</t>
        </is>
      </c>
      <c r="G14" s="19" t="n"/>
      <c r="H14" s="19" t="n"/>
    </row>
    <row r="15" ht="30" customHeight="1">
      <c r="A15" s="22" t="inlineStr">
        <is>
          <t>V12.3</t>
        </is>
      </c>
      <c r="B15" s="22" t="inlineStr">
        <is>
          <t>General Service to Service Communication Security</t>
        </is>
      </c>
      <c r="C15" s="23" t="inlineStr">
        <is>
          <t>V12.3.4</t>
        </is>
      </c>
      <c r="D15" s="24"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20" t="n">
        <v>2</v>
      </c>
      <c r="F15" s="21" t="inlineStr">
        <is>
          <t>Not Started</t>
        </is>
      </c>
      <c r="G15" s="24" t="n"/>
      <c r="H15" s="24" t="n"/>
    </row>
    <row r="16" ht="30" customHeight="1">
      <c r="A16" s="17" t="inlineStr">
        <is>
          <t>V12.3</t>
        </is>
      </c>
      <c r="B16" s="17" t="inlineStr">
        <is>
          <t>General Service to Service Communication Security</t>
        </is>
      </c>
      <c r="C16" s="18" t="inlineStr">
        <is>
          <t>V12.3.5</t>
        </is>
      </c>
      <c r="D16" s="19"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6" t="n">
        <v>3</v>
      </c>
      <c r="F16" s="21" t="inlineStr">
        <is>
          <t>Not Started</t>
        </is>
      </c>
      <c r="G16" s="19" t="n"/>
      <c r="H16" s="19"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V13.1</t>
        </is>
      </c>
      <c r="B2" s="16" t="inlineStr">
        <is>
          <t>Configuration Documentation</t>
        </is>
      </c>
      <c r="C2" s="16" t="n"/>
      <c r="D2" s="16" t="n"/>
      <c r="E2" s="16" t="n"/>
      <c r="F2" s="16" t="n"/>
      <c r="G2" s="16" t="n"/>
      <c r="H2" s="16" t="n"/>
    </row>
    <row r="3" ht="30" customHeight="1">
      <c r="A3" s="17" t="inlineStr">
        <is>
          <t>V13.1</t>
        </is>
      </c>
      <c r="B3" s="17" t="inlineStr">
        <is>
          <t>Configuration Documentation</t>
        </is>
      </c>
      <c r="C3" s="18" t="inlineStr">
        <is>
          <t>V13.1.1</t>
        </is>
      </c>
      <c r="D3" s="19"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20" t="n">
        <v>2</v>
      </c>
      <c r="F3" s="21" t="inlineStr">
        <is>
          <t>Not Started</t>
        </is>
      </c>
      <c r="G3" s="19" t="n"/>
      <c r="H3" s="19" t="n"/>
    </row>
    <row r="4" ht="30" customHeight="1">
      <c r="A4" s="22" t="inlineStr">
        <is>
          <t>V13.1</t>
        </is>
      </c>
      <c r="B4" s="22" t="inlineStr">
        <is>
          <t>Configuration Documentation</t>
        </is>
      </c>
      <c r="C4" s="23" t="inlineStr">
        <is>
          <t>V13.1.2</t>
        </is>
      </c>
      <c r="D4" s="24"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6" t="n">
        <v>3</v>
      </c>
      <c r="F4" s="21" t="inlineStr">
        <is>
          <t>Not Started</t>
        </is>
      </c>
      <c r="G4" s="24" t="n"/>
      <c r="H4" s="24" t="n"/>
    </row>
    <row r="5" ht="30" customHeight="1">
      <c r="A5" s="17" t="inlineStr">
        <is>
          <t>V13.1</t>
        </is>
      </c>
      <c r="B5" s="17" t="inlineStr">
        <is>
          <t>Configuration Documentation</t>
        </is>
      </c>
      <c r="C5" s="18" t="inlineStr">
        <is>
          <t>V13.1.3</t>
        </is>
      </c>
      <c r="D5" s="19"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6" t="n">
        <v>3</v>
      </c>
      <c r="F5" s="21" t="inlineStr">
        <is>
          <t>Not Started</t>
        </is>
      </c>
      <c r="G5" s="19" t="n"/>
      <c r="H5" s="19" t="n"/>
    </row>
    <row r="6" ht="30" customHeight="1">
      <c r="A6" s="22" t="inlineStr">
        <is>
          <t>V13.1</t>
        </is>
      </c>
      <c r="B6" s="22" t="inlineStr">
        <is>
          <t>Configuration Documentation</t>
        </is>
      </c>
      <c r="C6" s="23" t="inlineStr">
        <is>
          <t>V13.1.4</t>
        </is>
      </c>
      <c r="D6" s="24" t="inlineStr">
        <is>
          <t>Verify that the application's documentation defines the secrets that are critical for the security of the application and a schedule for rotating them, based on the organization's threat model and business requirements.</t>
        </is>
      </c>
      <c r="E6" s="26" t="n">
        <v>3</v>
      </c>
      <c r="F6" s="21" t="inlineStr">
        <is>
          <t>Not Started</t>
        </is>
      </c>
      <c r="G6" s="24" t="n"/>
      <c r="H6" s="24" t="n"/>
    </row>
    <row r="7" ht="18" customHeight="1">
      <c r="A7" s="16" t="inlineStr">
        <is>
          <t>V13.2</t>
        </is>
      </c>
      <c r="B7" s="16" t="inlineStr">
        <is>
          <t>Backend Communication Configuration</t>
        </is>
      </c>
      <c r="C7" s="16" t="n"/>
      <c r="D7" s="16" t="n"/>
      <c r="E7" s="16" t="n"/>
      <c r="F7" s="16" t="n"/>
      <c r="G7" s="16" t="n"/>
      <c r="H7" s="16" t="n"/>
    </row>
    <row r="8" ht="30" customHeight="1">
      <c r="A8" s="17" t="inlineStr">
        <is>
          <t>V13.2</t>
        </is>
      </c>
      <c r="B8" s="17" t="inlineStr">
        <is>
          <t>Backend Communication Configuration</t>
        </is>
      </c>
      <c r="C8" s="18" t="inlineStr">
        <is>
          <t>V13.2.1</t>
        </is>
      </c>
      <c r="D8" s="19"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20" t="n">
        <v>2</v>
      </c>
      <c r="F8" s="21" t="inlineStr">
        <is>
          <t>Not Started</t>
        </is>
      </c>
      <c r="G8" s="19" t="n"/>
      <c r="H8" s="19" t="n"/>
    </row>
    <row r="9" ht="30" customHeight="1">
      <c r="A9" s="22" t="inlineStr">
        <is>
          <t>V13.2</t>
        </is>
      </c>
      <c r="B9" s="22" t="inlineStr">
        <is>
          <t>Backend Communication Configuration</t>
        </is>
      </c>
      <c r="C9" s="23" t="inlineStr">
        <is>
          <t>V13.2.2</t>
        </is>
      </c>
      <c r="D9" s="24" t="inlineStr">
        <is>
          <t>Verify that communications between backend application components, including local or operating system services, APIs, middleware, and data layers, are performed with accounts assigned the least necessary privileges.</t>
        </is>
      </c>
      <c r="E9" s="20" t="n">
        <v>2</v>
      </c>
      <c r="F9" s="21" t="inlineStr">
        <is>
          <t>Not Started</t>
        </is>
      </c>
      <c r="G9" s="24" t="n"/>
      <c r="H9" s="24" t="n"/>
    </row>
    <row r="10" ht="30" customHeight="1">
      <c r="A10" s="17" t="inlineStr">
        <is>
          <t>V13.2</t>
        </is>
      </c>
      <c r="B10" s="17" t="inlineStr">
        <is>
          <t>Backend Communication Configuration</t>
        </is>
      </c>
      <c r="C10" s="18" t="inlineStr">
        <is>
          <t>V13.2.3</t>
        </is>
      </c>
      <c r="D10" s="19" t="inlineStr">
        <is>
          <t>Verify that if a credential has to be used for service authentication, the credential being used by the consumer is not a default credential (e.g., root/root or admin/admin).</t>
        </is>
      </c>
      <c r="E10" s="20" t="n">
        <v>2</v>
      </c>
      <c r="F10" s="21" t="inlineStr">
        <is>
          <t>Not Started</t>
        </is>
      </c>
      <c r="G10" s="19" t="n"/>
      <c r="H10" s="19" t="n"/>
    </row>
    <row r="11" ht="30" customHeight="1">
      <c r="A11" s="22" t="inlineStr">
        <is>
          <t>V13.2</t>
        </is>
      </c>
      <c r="B11" s="22" t="inlineStr">
        <is>
          <t>Backend Communication Configuration</t>
        </is>
      </c>
      <c r="C11" s="23" t="inlineStr">
        <is>
          <t>V13.2.4</t>
        </is>
      </c>
      <c r="D11" s="24"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20" t="n">
        <v>2</v>
      </c>
      <c r="F11" s="21" t="inlineStr">
        <is>
          <t>Not Started</t>
        </is>
      </c>
      <c r="G11" s="24" t="n"/>
      <c r="H11" s="24" t="n"/>
    </row>
    <row r="12" ht="30" customHeight="1">
      <c r="A12" s="17" t="inlineStr">
        <is>
          <t>V13.2</t>
        </is>
      </c>
      <c r="B12" s="17" t="inlineStr">
        <is>
          <t>Backend Communication Configuration</t>
        </is>
      </c>
      <c r="C12" s="18" t="inlineStr">
        <is>
          <t>V13.2.5</t>
        </is>
      </c>
      <c r="D12" s="19" t="inlineStr">
        <is>
          <t>Verify that the web or application server is configured with an allowlist of resources or systems to which the server can send requests or load data or files from.</t>
        </is>
      </c>
      <c r="E12" s="20" t="n">
        <v>2</v>
      </c>
      <c r="F12" s="21" t="inlineStr">
        <is>
          <t>Not Started</t>
        </is>
      </c>
      <c r="G12" s="19" t="n"/>
      <c r="H12" s="19" t="n"/>
    </row>
    <row r="13" ht="30" customHeight="1">
      <c r="A13" s="22" t="inlineStr">
        <is>
          <t>V13.2</t>
        </is>
      </c>
      <c r="B13" s="22" t="inlineStr">
        <is>
          <t>Backend Communication Configuration</t>
        </is>
      </c>
      <c r="C13" s="23" t="inlineStr">
        <is>
          <t>V13.2.6</t>
        </is>
      </c>
      <c r="D13" s="24"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6" t="n">
        <v>3</v>
      </c>
      <c r="F13" s="21" t="inlineStr">
        <is>
          <t>Not Started</t>
        </is>
      </c>
      <c r="G13" s="24" t="n"/>
      <c r="H13" s="24" t="n"/>
    </row>
    <row r="14" ht="18" customHeight="1">
      <c r="A14" s="16" t="inlineStr">
        <is>
          <t>V13.3</t>
        </is>
      </c>
      <c r="B14" s="16" t="inlineStr">
        <is>
          <t>Secret Management</t>
        </is>
      </c>
      <c r="C14" s="16" t="n"/>
      <c r="D14" s="16" t="n"/>
      <c r="E14" s="16" t="n"/>
      <c r="F14" s="16" t="n"/>
      <c r="G14" s="16" t="n"/>
      <c r="H14" s="16" t="n"/>
    </row>
    <row r="15" ht="30" customHeight="1">
      <c r="A15" s="17" t="inlineStr">
        <is>
          <t>V13.3</t>
        </is>
      </c>
      <c r="B15" s="17" t="inlineStr">
        <is>
          <t>Secret Management</t>
        </is>
      </c>
      <c r="C15" s="18" t="inlineStr">
        <is>
          <t>V13.3.1</t>
        </is>
      </c>
      <c r="D15" s="19"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20" t="n">
        <v>2</v>
      </c>
      <c r="F15" s="21" t="inlineStr">
        <is>
          <t>Not Started</t>
        </is>
      </c>
      <c r="G15" s="19" t="n"/>
      <c r="H15" s="19" t="n"/>
    </row>
    <row r="16" ht="30" customHeight="1">
      <c r="A16" s="22" t="inlineStr">
        <is>
          <t>V13.3</t>
        </is>
      </c>
      <c r="B16" s="22" t="inlineStr">
        <is>
          <t>Secret Management</t>
        </is>
      </c>
      <c r="C16" s="23" t="inlineStr">
        <is>
          <t>V13.3.2</t>
        </is>
      </c>
      <c r="D16" s="24" t="inlineStr">
        <is>
          <t>Verify that access to secret assets adheres to the principle of least privilege.</t>
        </is>
      </c>
      <c r="E16" s="20" t="n">
        <v>2</v>
      </c>
      <c r="F16" s="21" t="inlineStr">
        <is>
          <t>Not Started</t>
        </is>
      </c>
      <c r="G16" s="24" t="n"/>
      <c r="H16" s="24" t="n"/>
    </row>
    <row r="17" ht="30" customHeight="1">
      <c r="A17" s="17" t="inlineStr">
        <is>
          <t>V13.3</t>
        </is>
      </c>
      <c r="B17" s="17" t="inlineStr">
        <is>
          <t>Secret Management</t>
        </is>
      </c>
      <c r="C17" s="18" t="inlineStr">
        <is>
          <t>V13.3.3</t>
        </is>
      </c>
      <c r="D17" s="19" t="inlineStr">
        <is>
          <t>Verify that all cryptographic operations are performed using an isolated security module (such as a vault or hardware security module) to securely manage and protect key material from exposure outside of the security module.</t>
        </is>
      </c>
      <c r="E17" s="26" t="n">
        <v>3</v>
      </c>
      <c r="F17" s="21" t="inlineStr">
        <is>
          <t>Not Started</t>
        </is>
      </c>
      <c r="G17" s="19" t="n"/>
      <c r="H17" s="19" t="n"/>
    </row>
    <row r="18" ht="30" customHeight="1">
      <c r="A18" s="22" t="inlineStr">
        <is>
          <t>V13.3</t>
        </is>
      </c>
      <c r="B18" s="22" t="inlineStr">
        <is>
          <t>Secret Management</t>
        </is>
      </c>
      <c r="C18" s="23" t="inlineStr">
        <is>
          <t>V13.3.4</t>
        </is>
      </c>
      <c r="D18" s="24" t="inlineStr">
        <is>
          <t>Verify that secrets are configured to expire and be rotated based on the application's documentation.</t>
        </is>
      </c>
      <c r="E18" s="26" t="n">
        <v>3</v>
      </c>
      <c r="F18" s="21" t="inlineStr">
        <is>
          <t>Not Started</t>
        </is>
      </c>
      <c r="G18" s="24" t="n"/>
      <c r="H18" s="24" t="n"/>
    </row>
    <row r="19" ht="18" customHeight="1">
      <c r="A19" s="16" t="inlineStr">
        <is>
          <t>V13.4</t>
        </is>
      </c>
      <c r="B19" s="16" t="inlineStr">
        <is>
          <t>Unintended Information Leakage</t>
        </is>
      </c>
      <c r="C19" s="16" t="n"/>
      <c r="D19" s="16" t="n"/>
      <c r="E19" s="16" t="n"/>
      <c r="F19" s="16" t="n"/>
      <c r="G19" s="16" t="n"/>
      <c r="H19" s="16" t="n"/>
    </row>
    <row r="20" ht="30" customHeight="1">
      <c r="A20" s="17" t="inlineStr">
        <is>
          <t>V13.4</t>
        </is>
      </c>
      <c r="B20" s="17" t="inlineStr">
        <is>
          <t>Unintended Information Leakage</t>
        </is>
      </c>
      <c r="C20" s="18" t="inlineStr">
        <is>
          <t>V13.4.1</t>
        </is>
      </c>
      <c r="D20" s="19" t="inlineStr">
        <is>
          <t>Verify that the application is deployed either without any source control metadata, including the .git or .svn folders, or in a way that these folders are inaccessible both externally and to the application itself.</t>
        </is>
      </c>
      <c r="E20" s="25" t="n">
        <v>1</v>
      </c>
      <c r="F20" s="21" t="inlineStr">
        <is>
          <t>Not Started</t>
        </is>
      </c>
      <c r="G20" s="19" t="n"/>
      <c r="H20" s="19" t="n"/>
    </row>
    <row r="21" ht="30" customHeight="1">
      <c r="A21" s="22" t="inlineStr">
        <is>
          <t>V13.4</t>
        </is>
      </c>
      <c r="B21" s="22" t="inlineStr">
        <is>
          <t>Unintended Information Leakage</t>
        </is>
      </c>
      <c r="C21" s="23" t="inlineStr">
        <is>
          <t>V13.4.2</t>
        </is>
      </c>
      <c r="D21" s="24" t="inlineStr">
        <is>
          <t>Verify that debug modes are disabled for all components in production environments to prevent exposure of debugging features and information leakage.</t>
        </is>
      </c>
      <c r="E21" s="20" t="n">
        <v>2</v>
      </c>
      <c r="F21" s="21" t="inlineStr">
        <is>
          <t>Not Started</t>
        </is>
      </c>
      <c r="G21" s="24" t="n"/>
      <c r="H21" s="24" t="n"/>
    </row>
    <row r="22" ht="30" customHeight="1">
      <c r="A22" s="17" t="inlineStr">
        <is>
          <t>V13.4</t>
        </is>
      </c>
      <c r="B22" s="17" t="inlineStr">
        <is>
          <t>Unintended Information Leakage</t>
        </is>
      </c>
      <c r="C22" s="18" t="inlineStr">
        <is>
          <t>V13.4.3</t>
        </is>
      </c>
      <c r="D22" s="19" t="inlineStr">
        <is>
          <t>Verify that web servers do not expose directory listings to clients unless explicitly intended.</t>
        </is>
      </c>
      <c r="E22" s="20" t="n">
        <v>2</v>
      </c>
      <c r="F22" s="21" t="inlineStr">
        <is>
          <t>Not Started</t>
        </is>
      </c>
      <c r="G22" s="19" t="n"/>
      <c r="H22" s="19" t="n"/>
    </row>
    <row r="23" ht="30" customHeight="1">
      <c r="A23" s="22" t="inlineStr">
        <is>
          <t>V13.4</t>
        </is>
      </c>
      <c r="B23" s="22" t="inlineStr">
        <is>
          <t>Unintended Information Leakage</t>
        </is>
      </c>
      <c r="C23" s="23" t="inlineStr">
        <is>
          <t>V13.4.4</t>
        </is>
      </c>
      <c r="D23" s="24" t="inlineStr">
        <is>
          <t>Verify that using the HTTP TRACE method is not supported in production environments, to avoid potential information leakage.</t>
        </is>
      </c>
      <c r="E23" s="20" t="n">
        <v>2</v>
      </c>
      <c r="F23" s="21" t="inlineStr">
        <is>
          <t>Not Started</t>
        </is>
      </c>
      <c r="G23" s="24" t="n"/>
      <c r="H23" s="24" t="n"/>
    </row>
    <row r="24" ht="30" customHeight="1">
      <c r="A24" s="17" t="inlineStr">
        <is>
          <t>V13.4</t>
        </is>
      </c>
      <c r="B24" s="17" t="inlineStr">
        <is>
          <t>Unintended Information Leakage</t>
        </is>
      </c>
      <c r="C24" s="18" t="inlineStr">
        <is>
          <t>V13.4.5</t>
        </is>
      </c>
      <c r="D24" s="19" t="inlineStr">
        <is>
          <t>Verify that documentation (such as for internal APIs) and monitoring endpoints are not exposed unless explicitly intended.</t>
        </is>
      </c>
      <c r="E24" s="20" t="n">
        <v>2</v>
      </c>
      <c r="F24" s="21" t="inlineStr">
        <is>
          <t>Not Started</t>
        </is>
      </c>
      <c r="G24" s="19" t="n"/>
      <c r="H24" s="19" t="n"/>
    </row>
    <row r="25" ht="30" customHeight="1">
      <c r="A25" s="22" t="inlineStr">
        <is>
          <t>V13.4</t>
        </is>
      </c>
      <c r="B25" s="22" t="inlineStr">
        <is>
          <t>Unintended Information Leakage</t>
        </is>
      </c>
      <c r="C25" s="23" t="inlineStr">
        <is>
          <t>V13.4.6</t>
        </is>
      </c>
      <c r="D25" s="24" t="inlineStr">
        <is>
          <t>Verify that the application does not expose detailed version information of backend components.</t>
        </is>
      </c>
      <c r="E25" s="26" t="n">
        <v>3</v>
      </c>
      <c r="F25" s="21" t="inlineStr">
        <is>
          <t>Not Started</t>
        </is>
      </c>
      <c r="G25" s="24" t="n"/>
      <c r="H25" s="24" t="n"/>
    </row>
    <row r="26" ht="30" customHeight="1">
      <c r="A26" s="17" t="inlineStr">
        <is>
          <t>V13.4</t>
        </is>
      </c>
      <c r="B26" s="17" t="inlineStr">
        <is>
          <t>Unintended Information Leakage</t>
        </is>
      </c>
      <c r="C26" s="18" t="inlineStr">
        <is>
          <t>V13.4.7</t>
        </is>
      </c>
      <c r="D26" s="19" t="inlineStr">
        <is>
          <t>Verify that the web tier is configured to only serve files with specific file extensions to prevent unintentional information, configuration, and source code leakage.</t>
        </is>
      </c>
      <c r="E26" s="26" t="n">
        <v>3</v>
      </c>
      <c r="F26" s="21" t="inlineStr">
        <is>
          <t>Not Started</t>
        </is>
      </c>
      <c r="G26" s="19" t="n"/>
      <c r="H26" s="19"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V14.1</t>
        </is>
      </c>
      <c r="B2" s="16" t="inlineStr">
        <is>
          <t>Data Protection Documentation</t>
        </is>
      </c>
      <c r="C2" s="16" t="n"/>
      <c r="D2" s="16" t="n"/>
      <c r="E2" s="16" t="n"/>
      <c r="F2" s="16" t="n"/>
      <c r="G2" s="16" t="n"/>
      <c r="H2" s="16" t="n"/>
    </row>
    <row r="3" ht="30" customHeight="1">
      <c r="A3" s="17" t="inlineStr">
        <is>
          <t>V14.1</t>
        </is>
      </c>
      <c r="B3" s="17" t="inlineStr">
        <is>
          <t>Data Protection Documentation</t>
        </is>
      </c>
      <c r="C3" s="18" t="inlineStr">
        <is>
          <t>V14.1.1</t>
        </is>
      </c>
      <c r="D3" s="19"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20" t="n">
        <v>2</v>
      </c>
      <c r="F3" s="21" t="inlineStr">
        <is>
          <t>Not Started</t>
        </is>
      </c>
      <c r="G3" s="19" t="n"/>
      <c r="H3" s="19" t="n"/>
    </row>
    <row r="4" ht="30" customHeight="1">
      <c r="A4" s="22" t="inlineStr">
        <is>
          <t>V14.1</t>
        </is>
      </c>
      <c r="B4" s="22" t="inlineStr">
        <is>
          <t>Data Protection Documentation</t>
        </is>
      </c>
      <c r="C4" s="23" t="inlineStr">
        <is>
          <t>V14.1.2</t>
        </is>
      </c>
      <c r="D4" s="24"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20" t="n">
        <v>2</v>
      </c>
      <c r="F4" s="21" t="inlineStr">
        <is>
          <t>Not Started</t>
        </is>
      </c>
      <c r="G4" s="24" t="n"/>
      <c r="H4" s="24" t="n"/>
    </row>
    <row r="5" ht="18" customHeight="1">
      <c r="A5" s="16" t="inlineStr">
        <is>
          <t>V14.2</t>
        </is>
      </c>
      <c r="B5" s="16" t="inlineStr">
        <is>
          <t>General Data Protection</t>
        </is>
      </c>
      <c r="C5" s="16" t="n"/>
      <c r="D5" s="16" t="n"/>
      <c r="E5" s="16" t="n"/>
      <c r="F5" s="16" t="n"/>
      <c r="G5" s="16" t="n"/>
      <c r="H5" s="16" t="n"/>
    </row>
    <row r="6" ht="30" customHeight="1">
      <c r="A6" s="17" t="inlineStr">
        <is>
          <t>V14.2</t>
        </is>
      </c>
      <c r="B6" s="17" t="inlineStr">
        <is>
          <t>General Data Protection</t>
        </is>
      </c>
      <c r="C6" s="18" t="inlineStr">
        <is>
          <t>V14.2.1</t>
        </is>
      </c>
      <c r="D6" s="19" t="inlineStr">
        <is>
          <t>Verify that sensitive data is only sent to the server in the HTTP message body or header fields, and that the URL and query string do not contain sensitive information, such as an API key or session token.</t>
        </is>
      </c>
      <c r="E6" s="25" t="n">
        <v>1</v>
      </c>
      <c r="F6" s="21" t="inlineStr">
        <is>
          <t>Not Started</t>
        </is>
      </c>
      <c r="G6" s="19" t="n"/>
      <c r="H6" s="19" t="n"/>
    </row>
    <row r="7" ht="30" customHeight="1">
      <c r="A7" s="22" t="inlineStr">
        <is>
          <t>V14.2</t>
        </is>
      </c>
      <c r="B7" s="22" t="inlineStr">
        <is>
          <t>General Data Protection</t>
        </is>
      </c>
      <c r="C7" s="23" t="inlineStr">
        <is>
          <t>V14.2.2</t>
        </is>
      </c>
      <c r="D7" s="24" t="inlineStr">
        <is>
          <t>Verify that the application prevents sensitive data from being cached in server components, such as load balancers and application caches, or ensures that the data is securely purged after use.</t>
        </is>
      </c>
      <c r="E7" s="20" t="n">
        <v>2</v>
      </c>
      <c r="F7" s="21" t="inlineStr">
        <is>
          <t>Not Started</t>
        </is>
      </c>
      <c r="G7" s="24" t="n"/>
      <c r="H7" s="24" t="n"/>
    </row>
    <row r="8" ht="30" customHeight="1">
      <c r="A8" s="17" t="inlineStr">
        <is>
          <t>V14.2</t>
        </is>
      </c>
      <c r="B8" s="17" t="inlineStr">
        <is>
          <t>General Data Protection</t>
        </is>
      </c>
      <c r="C8" s="18" t="inlineStr">
        <is>
          <t>V14.2.3</t>
        </is>
      </c>
      <c r="D8" s="19" t="inlineStr">
        <is>
          <t>Verify that defined sensitive data is not sent to untrusted parties (e.g., user trackers) to prevent unwanted collection of data outside of the application's control.</t>
        </is>
      </c>
      <c r="E8" s="20" t="n">
        <v>2</v>
      </c>
      <c r="F8" s="21" t="inlineStr">
        <is>
          <t>Not Started</t>
        </is>
      </c>
      <c r="G8" s="19" t="n"/>
      <c r="H8" s="19" t="n"/>
    </row>
    <row r="9" ht="30" customHeight="1">
      <c r="A9" s="22" t="inlineStr">
        <is>
          <t>V14.2</t>
        </is>
      </c>
      <c r="B9" s="22" t="inlineStr">
        <is>
          <t>General Data Protection</t>
        </is>
      </c>
      <c r="C9" s="23" t="inlineStr">
        <is>
          <t>V14.2.4</t>
        </is>
      </c>
      <c r="D9" s="24"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20" t="n">
        <v>2</v>
      </c>
      <c r="F9" s="21" t="inlineStr">
        <is>
          <t>Not Started</t>
        </is>
      </c>
      <c r="G9" s="24" t="n"/>
      <c r="H9" s="24" t="n"/>
    </row>
    <row r="10" ht="30" customHeight="1">
      <c r="A10" s="17" t="inlineStr">
        <is>
          <t>V14.2</t>
        </is>
      </c>
      <c r="B10" s="17" t="inlineStr">
        <is>
          <t>General Data Protection</t>
        </is>
      </c>
      <c r="C10" s="18" t="inlineStr">
        <is>
          <t>V14.2.5</t>
        </is>
      </c>
      <c r="D10" s="19"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6" t="n">
        <v>3</v>
      </c>
      <c r="F10" s="21" t="inlineStr">
        <is>
          <t>Not Started</t>
        </is>
      </c>
      <c r="G10" s="19" t="n"/>
      <c r="H10" s="19" t="n"/>
    </row>
    <row r="11" ht="30" customHeight="1">
      <c r="A11" s="22" t="inlineStr">
        <is>
          <t>V14.2</t>
        </is>
      </c>
      <c r="B11" s="22" t="inlineStr">
        <is>
          <t>General Data Protection</t>
        </is>
      </c>
      <c r="C11" s="23" t="inlineStr">
        <is>
          <t>V14.2.6</t>
        </is>
      </c>
      <c r="D11" s="24"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6" t="n">
        <v>3</v>
      </c>
      <c r="F11" s="21" t="inlineStr">
        <is>
          <t>Not Started</t>
        </is>
      </c>
      <c r="G11" s="24" t="n"/>
      <c r="H11" s="24" t="n"/>
    </row>
    <row r="12" ht="30" customHeight="1">
      <c r="A12" s="17" t="inlineStr">
        <is>
          <t>V14.2</t>
        </is>
      </c>
      <c r="B12" s="17" t="inlineStr">
        <is>
          <t>General Data Protection</t>
        </is>
      </c>
      <c r="C12" s="18" t="inlineStr">
        <is>
          <t>V14.2.7</t>
        </is>
      </c>
      <c r="D12" s="19" t="inlineStr">
        <is>
          <t>Verify that sensitive information is subject to data retention classification, ensuring that outdated or unnecessary data is deleted automatically, on a defined schedule, or as the situation requires.</t>
        </is>
      </c>
      <c r="E12" s="26" t="n">
        <v>3</v>
      </c>
      <c r="F12" s="21" t="inlineStr">
        <is>
          <t>Not Started</t>
        </is>
      </c>
      <c r="G12" s="19" t="n"/>
      <c r="H12" s="19" t="n"/>
    </row>
    <row r="13" ht="30" customHeight="1">
      <c r="A13" s="22" t="inlineStr">
        <is>
          <t>V14.2</t>
        </is>
      </c>
      <c r="B13" s="22" t="inlineStr">
        <is>
          <t>General Data Protection</t>
        </is>
      </c>
      <c r="C13" s="23" t="inlineStr">
        <is>
          <t>V14.2.8</t>
        </is>
      </c>
      <c r="D13" s="24" t="inlineStr">
        <is>
          <t>Verify that sensitive information is removed from the metadata of user-submitted files unless storage is consented to by the user.</t>
        </is>
      </c>
      <c r="E13" s="26" t="n">
        <v>3</v>
      </c>
      <c r="F13" s="21" t="inlineStr">
        <is>
          <t>Not Started</t>
        </is>
      </c>
      <c r="G13" s="24" t="n"/>
      <c r="H13" s="24" t="n"/>
    </row>
    <row r="14" ht="18" customHeight="1">
      <c r="A14" s="16" t="inlineStr">
        <is>
          <t>V14.3</t>
        </is>
      </c>
      <c r="B14" s="16" t="inlineStr">
        <is>
          <t>Client-side Data Protection</t>
        </is>
      </c>
      <c r="C14" s="16" t="n"/>
      <c r="D14" s="16" t="n"/>
      <c r="E14" s="16" t="n"/>
      <c r="F14" s="16" t="n"/>
      <c r="G14" s="16" t="n"/>
      <c r="H14" s="16" t="n"/>
    </row>
    <row r="15" ht="30" customHeight="1">
      <c r="A15" s="17" t="inlineStr">
        <is>
          <t>V14.3</t>
        </is>
      </c>
      <c r="B15" s="17" t="inlineStr">
        <is>
          <t>Client-side Data Protection</t>
        </is>
      </c>
      <c r="C15" s="18" t="inlineStr">
        <is>
          <t>V14.3.1</t>
        </is>
      </c>
      <c r="D15" s="19"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5" t="n">
        <v>1</v>
      </c>
      <c r="F15" s="21" t="inlineStr">
        <is>
          <t>Not Started</t>
        </is>
      </c>
      <c r="G15" s="19" t="n"/>
      <c r="H15" s="19" t="n"/>
    </row>
    <row r="16" ht="30" customHeight="1">
      <c r="A16" s="22" t="inlineStr">
        <is>
          <t>V14.3</t>
        </is>
      </c>
      <c r="B16" s="22" t="inlineStr">
        <is>
          <t>Client-side Data Protection</t>
        </is>
      </c>
      <c r="C16" s="23" t="inlineStr">
        <is>
          <t>V14.3.2</t>
        </is>
      </c>
      <c r="D16" s="24" t="inlineStr">
        <is>
          <t>Verify that the application sets sufficient anti-caching HTTP response header fields (i.e., Cache-Control: no-store) so that sensitive data is not cached in browsers.</t>
        </is>
      </c>
      <c r="E16" s="20" t="n">
        <v>2</v>
      </c>
      <c r="F16" s="21" t="inlineStr">
        <is>
          <t>Not Started</t>
        </is>
      </c>
      <c r="G16" s="24" t="n"/>
      <c r="H16" s="24" t="n"/>
    </row>
    <row r="17" ht="30" customHeight="1">
      <c r="A17" s="17" t="inlineStr">
        <is>
          <t>V14.3</t>
        </is>
      </c>
      <c r="B17" s="17" t="inlineStr">
        <is>
          <t>Client-side Data Protection</t>
        </is>
      </c>
      <c r="C17" s="18" t="inlineStr">
        <is>
          <t>V14.3.3</t>
        </is>
      </c>
      <c r="D17" s="19" t="inlineStr">
        <is>
          <t>Verify that data stored in browser storage (such as localStorage, sessionStorage, IndexedDB, or cookies) does not contain sensitive data, with the exception of session tokens.</t>
        </is>
      </c>
      <c r="E17" s="20" t="n">
        <v>2</v>
      </c>
      <c r="F17" s="21" t="inlineStr">
        <is>
          <t>Not Started</t>
        </is>
      </c>
      <c r="G17" s="19" t="n"/>
      <c r="H17" s="19"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V15.1</t>
        </is>
      </c>
      <c r="B2" s="16" t="inlineStr">
        <is>
          <t>Secure Coding and Architecture Documentation</t>
        </is>
      </c>
      <c r="C2" s="16" t="n"/>
      <c r="D2" s="16" t="n"/>
      <c r="E2" s="16" t="n"/>
      <c r="F2" s="16" t="n"/>
      <c r="G2" s="16" t="n"/>
      <c r="H2" s="16" t="n"/>
    </row>
    <row r="3" ht="30" customHeight="1">
      <c r="A3" s="17" t="inlineStr">
        <is>
          <t>V15.1</t>
        </is>
      </c>
      <c r="B3" s="17" t="inlineStr">
        <is>
          <t>Secure Coding and Architecture Documentation</t>
        </is>
      </c>
      <c r="C3" s="18" t="inlineStr">
        <is>
          <t>V15.1.1</t>
        </is>
      </c>
      <c r="D3" s="19" t="inlineStr">
        <is>
          <t>Verify that application documentation defines risk based remediation time frames for 3rd party component versions with vulnerabilities and for updating libraries in general, to minimize the risk from these components.</t>
        </is>
      </c>
      <c r="E3" s="25" t="n">
        <v>1</v>
      </c>
      <c r="F3" s="21" t="inlineStr">
        <is>
          <t>Not Started</t>
        </is>
      </c>
      <c r="G3" s="19" t="n"/>
      <c r="H3" s="19" t="n"/>
    </row>
    <row r="4" ht="30" customHeight="1">
      <c r="A4" s="22" t="inlineStr">
        <is>
          <t>V15.1</t>
        </is>
      </c>
      <c r="B4" s="22" t="inlineStr">
        <is>
          <t>Secure Coding and Architecture Documentation</t>
        </is>
      </c>
      <c r="C4" s="23" t="inlineStr">
        <is>
          <t>V15.1.2</t>
        </is>
      </c>
      <c r="D4" s="24" t="inlineStr">
        <is>
          <t>Verify that an inventory catalog, such as software bill of materials (SBOM), is maintained of all third-party libraries in use, including verifying that components come from pre-defined, trusted, and continually maintained repositories.</t>
        </is>
      </c>
      <c r="E4" s="20" t="n">
        <v>2</v>
      </c>
      <c r="F4" s="21" t="inlineStr">
        <is>
          <t>Not Started</t>
        </is>
      </c>
      <c r="G4" s="24" t="n"/>
      <c r="H4" s="24" t="n"/>
    </row>
    <row r="5" ht="30" customHeight="1">
      <c r="A5" s="17" t="inlineStr">
        <is>
          <t>V15.1</t>
        </is>
      </c>
      <c r="B5" s="17" t="inlineStr">
        <is>
          <t>Secure Coding and Architecture Documentation</t>
        </is>
      </c>
      <c r="C5" s="18" t="inlineStr">
        <is>
          <t>V15.1.3</t>
        </is>
      </c>
      <c r="D5" s="19"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20" t="n">
        <v>2</v>
      </c>
      <c r="F5" s="21" t="inlineStr">
        <is>
          <t>Not Started</t>
        </is>
      </c>
      <c r="G5" s="19" t="n"/>
      <c r="H5" s="19" t="n"/>
    </row>
    <row r="6" ht="30" customHeight="1">
      <c r="A6" s="22" t="inlineStr">
        <is>
          <t>V15.1</t>
        </is>
      </c>
      <c r="B6" s="22" t="inlineStr">
        <is>
          <t>Secure Coding and Architecture Documentation</t>
        </is>
      </c>
      <c r="C6" s="23" t="inlineStr">
        <is>
          <t>V15.1.4</t>
        </is>
      </c>
      <c r="D6" s="24" t="inlineStr">
        <is>
          <t>Verify that application documentation highlights third-party libraries which are considered to be "risky components".</t>
        </is>
      </c>
      <c r="E6" s="26" t="n">
        <v>3</v>
      </c>
      <c r="F6" s="21" t="inlineStr">
        <is>
          <t>Not Started</t>
        </is>
      </c>
      <c r="G6" s="24" t="n"/>
      <c r="H6" s="24" t="n"/>
    </row>
    <row r="7" ht="30" customHeight="1">
      <c r="A7" s="17" t="inlineStr">
        <is>
          <t>V15.1</t>
        </is>
      </c>
      <c r="B7" s="17" t="inlineStr">
        <is>
          <t>Secure Coding and Architecture Documentation</t>
        </is>
      </c>
      <c r="C7" s="18" t="inlineStr">
        <is>
          <t>V15.1.5</t>
        </is>
      </c>
      <c r="D7" s="19" t="inlineStr">
        <is>
          <t>Verify that application documentation highlights parts of the application where "dangerous functionality" is being used.</t>
        </is>
      </c>
      <c r="E7" s="26" t="n">
        <v>3</v>
      </c>
      <c r="F7" s="21" t="inlineStr">
        <is>
          <t>Not Started</t>
        </is>
      </c>
      <c r="G7" s="19" t="n"/>
      <c r="H7" s="19" t="n"/>
    </row>
    <row r="8" ht="18" customHeight="1">
      <c r="A8" s="16" t="inlineStr">
        <is>
          <t>V15.2</t>
        </is>
      </c>
      <c r="B8" s="16" t="inlineStr">
        <is>
          <t>Security Architecture and Dependencies</t>
        </is>
      </c>
      <c r="C8" s="16" t="n"/>
      <c r="D8" s="16" t="n"/>
      <c r="E8" s="16" t="n"/>
      <c r="F8" s="16" t="n"/>
      <c r="G8" s="16" t="n"/>
      <c r="H8" s="16" t="n"/>
    </row>
    <row r="9" ht="30" customHeight="1">
      <c r="A9" s="17" t="inlineStr">
        <is>
          <t>V15.2</t>
        </is>
      </c>
      <c r="B9" s="17" t="inlineStr">
        <is>
          <t>Security Architecture and Dependencies</t>
        </is>
      </c>
      <c r="C9" s="18" t="inlineStr">
        <is>
          <t>V15.2.1</t>
        </is>
      </c>
      <c r="D9" s="19" t="inlineStr">
        <is>
          <t>Verify that the application only contains components which have not breached the documented update and remediation time frames.</t>
        </is>
      </c>
      <c r="E9" s="25" t="n">
        <v>1</v>
      </c>
      <c r="F9" s="21" t="inlineStr">
        <is>
          <t>Not Started</t>
        </is>
      </c>
      <c r="G9" s="19" t="n"/>
      <c r="H9" s="19" t="n"/>
    </row>
    <row r="10" ht="30" customHeight="1">
      <c r="A10" s="22" t="inlineStr">
        <is>
          <t>V15.2</t>
        </is>
      </c>
      <c r="B10" s="22" t="inlineStr">
        <is>
          <t>Security Architecture and Dependencies</t>
        </is>
      </c>
      <c r="C10" s="23" t="inlineStr">
        <is>
          <t>V15.2.2</t>
        </is>
      </c>
      <c r="D10" s="24" t="inlineStr">
        <is>
          <t>Verify that the application has implemented defenses against loss of availability due to functionality which is time-consuming or resource-demanding, based on the documented security decisions and strategies for this.</t>
        </is>
      </c>
      <c r="E10" s="20" t="n">
        <v>2</v>
      </c>
      <c r="F10" s="21" t="inlineStr">
        <is>
          <t>Not Started</t>
        </is>
      </c>
      <c r="G10" s="24" t="n"/>
      <c r="H10" s="24" t="n"/>
    </row>
    <row r="11" ht="30" customHeight="1">
      <c r="A11" s="17" t="inlineStr">
        <is>
          <t>V15.2</t>
        </is>
      </c>
      <c r="B11" s="17" t="inlineStr">
        <is>
          <t>Security Architecture and Dependencies</t>
        </is>
      </c>
      <c r="C11" s="18" t="inlineStr">
        <is>
          <t>V15.2.3</t>
        </is>
      </c>
      <c r="D11" s="19" t="inlineStr">
        <is>
          <t>Verify that the production environment only includes functionality that is required for the application to function, and does not expose extraneous functionality such as test code, sample snippets, and development functionality.</t>
        </is>
      </c>
      <c r="E11" s="20" t="n">
        <v>2</v>
      </c>
      <c r="F11" s="21" t="inlineStr">
        <is>
          <t>Not Started</t>
        </is>
      </c>
      <c r="G11" s="19" t="n"/>
      <c r="H11" s="19" t="n"/>
    </row>
    <row r="12" ht="30" customHeight="1">
      <c r="A12" s="22" t="inlineStr">
        <is>
          <t>V15.2</t>
        </is>
      </c>
      <c r="B12" s="22" t="inlineStr">
        <is>
          <t>Security Architecture and Dependencies</t>
        </is>
      </c>
      <c r="C12" s="23" t="inlineStr">
        <is>
          <t>V15.2.4</t>
        </is>
      </c>
      <c r="D12" s="24" t="inlineStr">
        <is>
          <t>Verify that third-party components and all of their transitive dependencies are included from the expected repository, whether internally owned or an external source, and that there is no risk of a dependency confusion attack.</t>
        </is>
      </c>
      <c r="E12" s="26" t="n">
        <v>3</v>
      </c>
      <c r="F12" s="21" t="inlineStr">
        <is>
          <t>Not Started</t>
        </is>
      </c>
      <c r="G12" s="24" t="n"/>
      <c r="H12" s="24" t="n"/>
    </row>
    <row r="13" ht="30" customHeight="1">
      <c r="A13" s="17" t="inlineStr">
        <is>
          <t>V15.2</t>
        </is>
      </c>
      <c r="B13" s="17" t="inlineStr">
        <is>
          <t>Security Architecture and Dependencies</t>
        </is>
      </c>
      <c r="C13" s="18" t="inlineStr">
        <is>
          <t>V15.2.5</t>
        </is>
      </c>
      <c r="D13" s="19"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6" t="n">
        <v>3</v>
      </c>
      <c r="F13" s="21" t="inlineStr">
        <is>
          <t>Not Started</t>
        </is>
      </c>
      <c r="G13" s="19" t="n"/>
      <c r="H13" s="19" t="n"/>
    </row>
    <row r="14" ht="18" customHeight="1">
      <c r="A14" s="16" t="inlineStr">
        <is>
          <t>V15.3</t>
        </is>
      </c>
      <c r="B14" s="16" t="inlineStr">
        <is>
          <t>Defensive Coding</t>
        </is>
      </c>
      <c r="C14" s="16" t="n"/>
      <c r="D14" s="16" t="n"/>
      <c r="E14" s="16" t="n"/>
      <c r="F14" s="16" t="n"/>
      <c r="G14" s="16" t="n"/>
      <c r="H14" s="16" t="n"/>
    </row>
    <row r="15" ht="30" customHeight="1">
      <c r="A15" s="17" t="inlineStr">
        <is>
          <t>V15.3</t>
        </is>
      </c>
      <c r="B15" s="17" t="inlineStr">
        <is>
          <t>Defensive Coding</t>
        </is>
      </c>
      <c r="C15" s="18" t="inlineStr">
        <is>
          <t>V15.3.1</t>
        </is>
      </c>
      <c r="D15" s="19" t="inlineStr">
        <is>
          <t>Verify that the application only returns the required subset of fields from a data object. For example, it should not return an entire data object, as some individual fields should not be accessible to users.</t>
        </is>
      </c>
      <c r="E15" s="25" t="n">
        <v>1</v>
      </c>
      <c r="F15" s="21" t="inlineStr">
        <is>
          <t>Not Started</t>
        </is>
      </c>
      <c r="G15" s="19" t="n"/>
      <c r="H15" s="19" t="n"/>
    </row>
    <row r="16" ht="30" customHeight="1">
      <c r="A16" s="22" t="inlineStr">
        <is>
          <t>V15.3</t>
        </is>
      </c>
      <c r="B16" s="22" t="inlineStr">
        <is>
          <t>Defensive Coding</t>
        </is>
      </c>
      <c r="C16" s="23" t="inlineStr">
        <is>
          <t>V15.3.2</t>
        </is>
      </c>
      <c r="D16" s="24" t="inlineStr">
        <is>
          <t>Verify that where the application backend makes calls to external URLs, it is configured to not follow redirects unless it is intended functionality.</t>
        </is>
      </c>
      <c r="E16" s="20" t="n">
        <v>2</v>
      </c>
      <c r="F16" s="21" t="inlineStr">
        <is>
          <t>Not Started</t>
        </is>
      </c>
      <c r="G16" s="24" t="n"/>
      <c r="H16" s="24" t="n"/>
    </row>
    <row r="17" ht="30" customHeight="1">
      <c r="A17" s="17" t="inlineStr">
        <is>
          <t>V15.3</t>
        </is>
      </c>
      <c r="B17" s="17" t="inlineStr">
        <is>
          <t>Defensive Coding</t>
        </is>
      </c>
      <c r="C17" s="18" t="inlineStr">
        <is>
          <t>V15.3.3</t>
        </is>
      </c>
      <c r="D17" s="19"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20" t="n">
        <v>2</v>
      </c>
      <c r="F17" s="21" t="inlineStr">
        <is>
          <t>Not Started</t>
        </is>
      </c>
      <c r="G17" s="19" t="n"/>
      <c r="H17" s="19" t="n"/>
    </row>
    <row r="18" ht="30" customHeight="1">
      <c r="A18" s="22" t="inlineStr">
        <is>
          <t>V15.3</t>
        </is>
      </c>
      <c r="B18" s="22" t="inlineStr">
        <is>
          <t>Defensive Coding</t>
        </is>
      </c>
      <c r="C18" s="23" t="inlineStr">
        <is>
          <t>V15.3.4</t>
        </is>
      </c>
      <c r="D18" s="24"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20" t="n">
        <v>2</v>
      </c>
      <c r="F18" s="21" t="inlineStr">
        <is>
          <t>Not Started</t>
        </is>
      </c>
      <c r="G18" s="24" t="n"/>
      <c r="H18" s="24" t="n"/>
    </row>
    <row r="19" ht="30" customHeight="1">
      <c r="A19" s="17" t="inlineStr">
        <is>
          <t>V15.3</t>
        </is>
      </c>
      <c r="B19" s="17" t="inlineStr">
        <is>
          <t>Defensive Coding</t>
        </is>
      </c>
      <c r="C19" s="18" t="inlineStr">
        <is>
          <t>V15.3.5</t>
        </is>
      </c>
      <c r="D19" s="19"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20" t="n">
        <v>2</v>
      </c>
      <c r="F19" s="21" t="inlineStr">
        <is>
          <t>Not Started</t>
        </is>
      </c>
      <c r="G19" s="19" t="n"/>
      <c r="H19" s="19" t="n"/>
    </row>
    <row r="20" ht="30" customHeight="1">
      <c r="A20" s="22" t="inlineStr">
        <is>
          <t>V15.3</t>
        </is>
      </c>
      <c r="B20" s="22" t="inlineStr">
        <is>
          <t>Defensive Coding</t>
        </is>
      </c>
      <c r="C20" s="23" t="inlineStr">
        <is>
          <t>V15.3.6</t>
        </is>
      </c>
      <c r="D20" s="24" t="inlineStr">
        <is>
          <t>Verify that JavaScript code is written in a way that prevents prototype pollution, for example, by using Set() or Map() instead of object literals.</t>
        </is>
      </c>
      <c r="E20" s="20" t="n">
        <v>2</v>
      </c>
      <c r="F20" s="21" t="inlineStr">
        <is>
          <t>Not Started</t>
        </is>
      </c>
      <c r="G20" s="24" t="n"/>
      <c r="H20" s="24" t="n"/>
    </row>
    <row r="21" ht="30" customHeight="1">
      <c r="A21" s="17" t="inlineStr">
        <is>
          <t>V15.3</t>
        </is>
      </c>
      <c r="B21" s="17" t="inlineStr">
        <is>
          <t>Defensive Coding</t>
        </is>
      </c>
      <c r="C21" s="18" t="inlineStr">
        <is>
          <t>V15.3.7</t>
        </is>
      </c>
      <c r="D21" s="19" t="inlineStr">
        <is>
          <t>Verify that the application has defenses against HTTP parameter pollution attacks, particularly if the application framework makes no distinction about the source of request parameters (query string, body parameters, cookies, or header fields).</t>
        </is>
      </c>
      <c r="E21" s="20" t="n">
        <v>2</v>
      </c>
      <c r="F21" s="21" t="inlineStr">
        <is>
          <t>Not Started</t>
        </is>
      </c>
      <c r="G21" s="19" t="n"/>
      <c r="H21" s="19" t="n"/>
    </row>
    <row r="22" ht="18" customHeight="1">
      <c r="A22" s="16" t="inlineStr">
        <is>
          <t>V15.4</t>
        </is>
      </c>
      <c r="B22" s="16" t="inlineStr">
        <is>
          <t>Safe Concurrency</t>
        </is>
      </c>
      <c r="C22" s="16" t="n"/>
      <c r="D22" s="16" t="n"/>
      <c r="E22" s="16" t="n"/>
      <c r="F22" s="16" t="n"/>
      <c r="G22" s="16" t="n"/>
      <c r="H22" s="16" t="n"/>
    </row>
    <row r="23" ht="30" customHeight="1">
      <c r="A23" s="17" t="inlineStr">
        <is>
          <t>V15.4</t>
        </is>
      </c>
      <c r="B23" s="17" t="inlineStr">
        <is>
          <t>Safe Concurrency</t>
        </is>
      </c>
      <c r="C23" s="18" t="inlineStr">
        <is>
          <t>V15.4.1</t>
        </is>
      </c>
      <c r="D23" s="19"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6" t="n">
        <v>3</v>
      </c>
      <c r="F23" s="21" t="inlineStr">
        <is>
          <t>Not Started</t>
        </is>
      </c>
      <c r="G23" s="19" t="n"/>
      <c r="H23" s="19" t="n"/>
    </row>
    <row r="24" ht="30" customHeight="1">
      <c r="A24" s="22" t="inlineStr">
        <is>
          <t>V15.4</t>
        </is>
      </c>
      <c r="B24" s="22" t="inlineStr">
        <is>
          <t>Safe Concurrency</t>
        </is>
      </c>
      <c r="C24" s="23" t="inlineStr">
        <is>
          <t>V15.4.2</t>
        </is>
      </c>
      <c r="D24" s="24"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6" t="n">
        <v>3</v>
      </c>
      <c r="F24" s="21" t="inlineStr">
        <is>
          <t>Not Started</t>
        </is>
      </c>
      <c r="G24" s="24" t="n"/>
      <c r="H24" s="24" t="n"/>
    </row>
    <row r="25" ht="30" customHeight="1">
      <c r="A25" s="17" t="inlineStr">
        <is>
          <t>V15.4</t>
        </is>
      </c>
      <c r="B25" s="17" t="inlineStr">
        <is>
          <t>Safe Concurrency</t>
        </is>
      </c>
      <c r="C25" s="18" t="inlineStr">
        <is>
          <t>V15.4.3</t>
        </is>
      </c>
      <c r="D25" s="19"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6" t="n">
        <v>3</v>
      </c>
      <c r="F25" s="21" t="inlineStr">
        <is>
          <t>Not Started</t>
        </is>
      </c>
      <c r="G25" s="19" t="n"/>
      <c r="H25" s="19" t="n"/>
    </row>
    <row r="26" ht="30" customHeight="1">
      <c r="A26" s="22" t="inlineStr">
        <is>
          <t>V15.4</t>
        </is>
      </c>
      <c r="B26" s="22" t="inlineStr">
        <is>
          <t>Safe Concurrency</t>
        </is>
      </c>
      <c r="C26" s="23" t="inlineStr">
        <is>
          <t>V15.4.4</t>
        </is>
      </c>
      <c r="D26" s="24" t="inlineStr">
        <is>
          <t>Verify that resource allocation policies prevent thread starvation by ensuring fair access to resources, such as by leveraging thread pools, allowing lower-priority threads to proceed within a reasonable timeframe.</t>
        </is>
      </c>
      <c r="E26" s="26" t="n">
        <v>3</v>
      </c>
      <c r="F26" s="21" t="inlineStr">
        <is>
          <t>Not Started</t>
        </is>
      </c>
      <c r="G26" s="24" t="n"/>
      <c r="H26" s="24"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V16.1</t>
        </is>
      </c>
      <c r="B2" s="16" t="inlineStr">
        <is>
          <t>Security Logging Documentation</t>
        </is>
      </c>
      <c r="C2" s="16" t="n"/>
      <c r="D2" s="16" t="n"/>
      <c r="E2" s="16" t="n"/>
      <c r="F2" s="16" t="n"/>
      <c r="G2" s="16" t="n"/>
      <c r="H2" s="16" t="n"/>
    </row>
    <row r="3" ht="30" customHeight="1">
      <c r="A3" s="17" t="inlineStr">
        <is>
          <t>V16.1</t>
        </is>
      </c>
      <c r="B3" s="17" t="inlineStr">
        <is>
          <t>Security Logging Documentation</t>
        </is>
      </c>
      <c r="C3" s="18" t="inlineStr">
        <is>
          <t>V16.1.1</t>
        </is>
      </c>
      <c r="D3" s="19"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20" t="n">
        <v>2</v>
      </c>
      <c r="F3" s="21" t="inlineStr">
        <is>
          <t>Not Started</t>
        </is>
      </c>
      <c r="G3" s="19" t="n"/>
      <c r="H3" s="19" t="n"/>
    </row>
    <row r="4" ht="18" customHeight="1">
      <c r="A4" s="16" t="inlineStr">
        <is>
          <t>V16.2</t>
        </is>
      </c>
      <c r="B4" s="16" t="inlineStr">
        <is>
          <t>General Logging</t>
        </is>
      </c>
      <c r="C4" s="16" t="n"/>
      <c r="D4" s="16" t="n"/>
      <c r="E4" s="16" t="n"/>
      <c r="F4" s="16" t="n"/>
      <c r="G4" s="16" t="n"/>
      <c r="H4" s="16" t="n"/>
    </row>
    <row r="5" ht="30" customHeight="1">
      <c r="A5" s="17" t="inlineStr">
        <is>
          <t>V16.2</t>
        </is>
      </c>
      <c r="B5" s="17" t="inlineStr">
        <is>
          <t>General Logging</t>
        </is>
      </c>
      <c r="C5" s="18" t="inlineStr">
        <is>
          <t>V16.2.1</t>
        </is>
      </c>
      <c r="D5" s="19" t="inlineStr">
        <is>
          <t>Verify that each log entry includes necessary metadata (such as when, where, who, what) that would allow for a detailed investigation of the timeline when an event happens.</t>
        </is>
      </c>
      <c r="E5" s="20" t="n">
        <v>2</v>
      </c>
      <c r="F5" s="21" t="inlineStr">
        <is>
          <t>Not Started</t>
        </is>
      </c>
      <c r="G5" s="19" t="n"/>
      <c r="H5" s="19" t="n"/>
    </row>
    <row r="6" ht="30" customHeight="1">
      <c r="A6" s="22" t="inlineStr">
        <is>
          <t>V16.2</t>
        </is>
      </c>
      <c r="B6" s="22" t="inlineStr">
        <is>
          <t>General Logging</t>
        </is>
      </c>
      <c r="C6" s="23" t="inlineStr">
        <is>
          <t>V16.2.2</t>
        </is>
      </c>
      <c r="D6" s="24"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20" t="n">
        <v>2</v>
      </c>
      <c r="F6" s="21" t="inlineStr">
        <is>
          <t>Not Started</t>
        </is>
      </c>
      <c r="G6" s="24" t="n"/>
      <c r="H6" s="24" t="n"/>
    </row>
    <row r="7" ht="30" customHeight="1">
      <c r="A7" s="17" t="inlineStr">
        <is>
          <t>V16.2</t>
        </is>
      </c>
      <c r="B7" s="17" t="inlineStr">
        <is>
          <t>General Logging</t>
        </is>
      </c>
      <c r="C7" s="18" t="inlineStr">
        <is>
          <t>V16.2.3</t>
        </is>
      </c>
      <c r="D7" s="19" t="inlineStr">
        <is>
          <t>Verify that the application only stores or broadcasts logs to the files and services that are documented in the log inventory.</t>
        </is>
      </c>
      <c r="E7" s="20" t="n">
        <v>2</v>
      </c>
      <c r="F7" s="21" t="inlineStr">
        <is>
          <t>Not Started</t>
        </is>
      </c>
      <c r="G7" s="19" t="n"/>
      <c r="H7" s="19" t="n"/>
    </row>
    <row r="8" ht="30" customHeight="1">
      <c r="A8" s="22" t="inlineStr">
        <is>
          <t>V16.2</t>
        </is>
      </c>
      <c r="B8" s="22" t="inlineStr">
        <is>
          <t>General Logging</t>
        </is>
      </c>
      <c r="C8" s="23" t="inlineStr">
        <is>
          <t>V16.2.4</t>
        </is>
      </c>
      <c r="D8" s="24" t="inlineStr">
        <is>
          <t>Verify that logs can be read and correlated by the log processor that is in use, preferably by using a common logging format.</t>
        </is>
      </c>
      <c r="E8" s="20" t="n">
        <v>2</v>
      </c>
      <c r="F8" s="21" t="inlineStr">
        <is>
          <t>Not Started</t>
        </is>
      </c>
      <c r="G8" s="24" t="n"/>
      <c r="H8" s="24" t="n"/>
    </row>
    <row r="9" ht="30" customHeight="1">
      <c r="A9" s="17" t="inlineStr">
        <is>
          <t>V16.2</t>
        </is>
      </c>
      <c r="B9" s="17" t="inlineStr">
        <is>
          <t>General Logging</t>
        </is>
      </c>
      <c r="C9" s="18" t="inlineStr">
        <is>
          <t>V16.2.5</t>
        </is>
      </c>
      <c r="D9" s="19"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20" t="n">
        <v>2</v>
      </c>
      <c r="F9" s="21" t="inlineStr">
        <is>
          <t>Not Started</t>
        </is>
      </c>
      <c r="G9" s="19" t="n"/>
      <c r="H9" s="19" t="n"/>
    </row>
    <row r="10" ht="18" customHeight="1">
      <c r="A10" s="16" t="inlineStr">
        <is>
          <t>V16.3</t>
        </is>
      </c>
      <c r="B10" s="16" t="inlineStr">
        <is>
          <t>Security Events</t>
        </is>
      </c>
      <c r="C10" s="16" t="n"/>
      <c r="D10" s="16" t="n"/>
      <c r="E10" s="16" t="n"/>
      <c r="F10" s="16" t="n"/>
      <c r="G10" s="16" t="n"/>
      <c r="H10" s="16" t="n"/>
    </row>
    <row r="11" ht="30" customHeight="1">
      <c r="A11" s="17" t="inlineStr">
        <is>
          <t>V16.3</t>
        </is>
      </c>
      <c r="B11" s="17" t="inlineStr">
        <is>
          <t>Security Events</t>
        </is>
      </c>
      <c r="C11" s="18" t="inlineStr">
        <is>
          <t>V16.3.1</t>
        </is>
      </c>
      <c r="D11" s="19" t="inlineStr">
        <is>
          <t>Verify that all authentication operations are logged, including successful and unsuccessful attempts. Additional metadata, such as the type of authentication or factors used, should also be collected.</t>
        </is>
      </c>
      <c r="E11" s="20" t="n">
        <v>2</v>
      </c>
      <c r="F11" s="21" t="inlineStr">
        <is>
          <t>Not Started</t>
        </is>
      </c>
      <c r="G11" s="19" t="n"/>
      <c r="H11" s="19" t="n"/>
    </row>
    <row r="12" ht="30" customHeight="1">
      <c r="A12" s="22" t="inlineStr">
        <is>
          <t>V16.3</t>
        </is>
      </c>
      <c r="B12" s="22" t="inlineStr">
        <is>
          <t>Security Events</t>
        </is>
      </c>
      <c r="C12" s="23" t="inlineStr">
        <is>
          <t>V16.3.2</t>
        </is>
      </c>
      <c r="D12" s="24" t="inlineStr">
        <is>
          <t>Verify that failed authorization attempts are logged. For L3, this must include logging all authorization decisions, including logging when sensitive data is accessed (without logging the sensitive data itself).</t>
        </is>
      </c>
      <c r="E12" s="20" t="n">
        <v>2</v>
      </c>
      <c r="F12" s="21" t="inlineStr">
        <is>
          <t>Not Started</t>
        </is>
      </c>
      <c r="G12" s="24" t="n"/>
      <c r="H12" s="24" t="n"/>
    </row>
    <row r="13" ht="30" customHeight="1">
      <c r="A13" s="17" t="inlineStr">
        <is>
          <t>V16.3</t>
        </is>
      </c>
      <c r="B13" s="17" t="inlineStr">
        <is>
          <t>Security Events</t>
        </is>
      </c>
      <c r="C13" s="18" t="inlineStr">
        <is>
          <t>V16.3.3</t>
        </is>
      </c>
      <c r="D13" s="19" t="inlineStr">
        <is>
          <t>Verify that the application logs the security events that are defined in the documentation and also logs attempts to bypass the security controls, such as input validation, business logic, and anti-automation.</t>
        </is>
      </c>
      <c r="E13" s="20" t="n">
        <v>2</v>
      </c>
      <c r="F13" s="21" t="inlineStr">
        <is>
          <t>Not Started</t>
        </is>
      </c>
      <c r="G13" s="19" t="n"/>
      <c r="H13" s="19" t="n"/>
    </row>
    <row r="14" ht="30" customHeight="1">
      <c r="A14" s="22" t="inlineStr">
        <is>
          <t>V16.3</t>
        </is>
      </c>
      <c r="B14" s="22" t="inlineStr">
        <is>
          <t>Security Events</t>
        </is>
      </c>
      <c r="C14" s="23" t="inlineStr">
        <is>
          <t>V16.3.4</t>
        </is>
      </c>
      <c r="D14" s="24" t="inlineStr">
        <is>
          <t>Verify that the application logs unexpected errors and security control failures such as backend TLS failures.</t>
        </is>
      </c>
      <c r="E14" s="20" t="n">
        <v>2</v>
      </c>
      <c r="F14" s="21" t="inlineStr">
        <is>
          <t>Not Started</t>
        </is>
      </c>
      <c r="G14" s="24" t="n"/>
      <c r="H14" s="24" t="n"/>
    </row>
    <row r="15" ht="18" customHeight="1">
      <c r="A15" s="16" t="inlineStr">
        <is>
          <t>V16.4</t>
        </is>
      </c>
      <c r="B15" s="16" t="inlineStr">
        <is>
          <t>Log Protection</t>
        </is>
      </c>
      <c r="C15" s="16" t="n"/>
      <c r="D15" s="16" t="n"/>
      <c r="E15" s="16" t="n"/>
      <c r="F15" s="16" t="n"/>
      <c r="G15" s="16" t="n"/>
      <c r="H15" s="16" t="n"/>
    </row>
    <row r="16" ht="30" customHeight="1">
      <c r="A16" s="17" t="inlineStr">
        <is>
          <t>V16.4</t>
        </is>
      </c>
      <c r="B16" s="17" t="inlineStr">
        <is>
          <t>Log Protection</t>
        </is>
      </c>
      <c r="C16" s="18" t="inlineStr">
        <is>
          <t>V16.4.1</t>
        </is>
      </c>
      <c r="D16" s="19" t="inlineStr">
        <is>
          <t>Verify that all logging components appropriately encode data to prevent log injection.</t>
        </is>
      </c>
      <c r="E16" s="20" t="n">
        <v>2</v>
      </c>
      <c r="F16" s="21" t="inlineStr">
        <is>
          <t>Not Started</t>
        </is>
      </c>
      <c r="G16" s="19" t="n"/>
      <c r="H16" s="19" t="n"/>
    </row>
    <row r="17" ht="30" customHeight="1">
      <c r="A17" s="22" t="inlineStr">
        <is>
          <t>V16.4</t>
        </is>
      </c>
      <c r="B17" s="22" t="inlineStr">
        <is>
          <t>Log Protection</t>
        </is>
      </c>
      <c r="C17" s="23" t="inlineStr">
        <is>
          <t>V16.4.2</t>
        </is>
      </c>
      <c r="D17" s="24" t="inlineStr">
        <is>
          <t>Verify that logs are protected from unauthorized access and cannot be modified.</t>
        </is>
      </c>
      <c r="E17" s="20" t="n">
        <v>2</v>
      </c>
      <c r="F17" s="21" t="inlineStr">
        <is>
          <t>Not Started</t>
        </is>
      </c>
      <c r="G17" s="24" t="n"/>
      <c r="H17" s="24" t="n"/>
    </row>
    <row r="18" ht="30" customHeight="1">
      <c r="A18" s="17" t="inlineStr">
        <is>
          <t>V16.4</t>
        </is>
      </c>
      <c r="B18" s="17" t="inlineStr">
        <is>
          <t>Log Protection</t>
        </is>
      </c>
      <c r="C18" s="18" t="inlineStr">
        <is>
          <t>V16.4.3</t>
        </is>
      </c>
      <c r="D18" s="19" t="inlineStr">
        <is>
          <t>Verify that logs are securely transmitted to a logically separate system for analysis, detection, alerting, and escalation. The aim is to ensure that if the application is breached, the logs are not compromised.</t>
        </is>
      </c>
      <c r="E18" s="20" t="n">
        <v>2</v>
      </c>
      <c r="F18" s="21" t="inlineStr">
        <is>
          <t>Not Started</t>
        </is>
      </c>
      <c r="G18" s="19" t="n"/>
      <c r="H18" s="19" t="n"/>
    </row>
    <row r="19" ht="18" customHeight="1">
      <c r="A19" s="16" t="inlineStr">
        <is>
          <t>V16.5</t>
        </is>
      </c>
      <c r="B19" s="16" t="inlineStr">
        <is>
          <t>Error Handling</t>
        </is>
      </c>
      <c r="C19" s="16" t="n"/>
      <c r="D19" s="16" t="n"/>
      <c r="E19" s="16" t="n"/>
      <c r="F19" s="16" t="n"/>
      <c r="G19" s="16" t="n"/>
      <c r="H19" s="16" t="n"/>
    </row>
    <row r="20" ht="30" customHeight="1">
      <c r="A20" s="17" t="inlineStr">
        <is>
          <t>V16.5</t>
        </is>
      </c>
      <c r="B20" s="17" t="inlineStr">
        <is>
          <t>Error Handling</t>
        </is>
      </c>
      <c r="C20" s="18" t="inlineStr">
        <is>
          <t>V16.5.1</t>
        </is>
      </c>
      <c r="D20" s="19" t="inlineStr">
        <is>
          <t>Verify that a generic message is returned to the consumer when an unexpected or security-sensitive error occurs, ensuring no exposure of sensitive internal system data such as stack traces, queries, secret keys, and tokens.</t>
        </is>
      </c>
      <c r="E20" s="20" t="n">
        <v>2</v>
      </c>
      <c r="F20" s="21" t="inlineStr">
        <is>
          <t>Not Started</t>
        </is>
      </c>
      <c r="G20" s="19" t="n"/>
      <c r="H20" s="19" t="n"/>
    </row>
    <row r="21" ht="30" customHeight="1">
      <c r="A21" s="22" t="inlineStr">
        <is>
          <t>V16.5</t>
        </is>
      </c>
      <c r="B21" s="22" t="inlineStr">
        <is>
          <t>Error Handling</t>
        </is>
      </c>
      <c r="C21" s="23" t="inlineStr">
        <is>
          <t>V16.5.2</t>
        </is>
      </c>
      <c r="D21" s="24" t="inlineStr">
        <is>
          <t>Verify that the application continues to operate securely when external resource access fails, for example, by using patterns such as circuit breakers or graceful degradation.</t>
        </is>
      </c>
      <c r="E21" s="20" t="n">
        <v>2</v>
      </c>
      <c r="F21" s="21" t="inlineStr">
        <is>
          <t>Not Started</t>
        </is>
      </c>
      <c r="G21" s="24" t="n"/>
      <c r="H21" s="24" t="n"/>
    </row>
    <row r="22" ht="30" customHeight="1">
      <c r="A22" s="17" t="inlineStr">
        <is>
          <t>V16.5</t>
        </is>
      </c>
      <c r="B22" s="17" t="inlineStr">
        <is>
          <t>Error Handling</t>
        </is>
      </c>
      <c r="C22" s="18" t="inlineStr">
        <is>
          <t>V16.5.3</t>
        </is>
      </c>
      <c r="D22" s="19" t="inlineStr">
        <is>
          <t>Verify that the application fails gracefully and securely, including when an exception occurs, preventing fail-open conditions such as processing a transaction despite errors resulting from validation logic.</t>
        </is>
      </c>
      <c r="E22" s="20" t="n">
        <v>2</v>
      </c>
      <c r="F22" s="21" t="inlineStr">
        <is>
          <t>Not Started</t>
        </is>
      </c>
      <c r="G22" s="19" t="n"/>
      <c r="H22" s="19" t="n"/>
    </row>
    <row r="23" ht="30" customHeight="1">
      <c r="A23" s="22" t="inlineStr">
        <is>
          <t>V16.5</t>
        </is>
      </c>
      <c r="B23" s="22" t="inlineStr">
        <is>
          <t>Error Handling</t>
        </is>
      </c>
      <c r="C23" s="23" t="inlineStr">
        <is>
          <t>V16.5.4</t>
        </is>
      </c>
      <c r="D23" s="24"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6" t="n">
        <v>3</v>
      </c>
      <c r="F23" s="21" t="inlineStr">
        <is>
          <t>Not Started</t>
        </is>
      </c>
      <c r="G23" s="24" t="n"/>
      <c r="H23" s="24" t="n"/>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A1" sqref="A1"/>
    </sheetView>
  </sheetViews>
  <sheetFormatPr baseColWidth="8" defaultColWidth="8.570312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7.95" customHeight="1">
      <c r="A1" s="15" t="inlineStr">
        <is>
          <t>Section ID</t>
        </is>
      </c>
      <c r="B1" s="15" t="inlineStr">
        <is>
          <t>Section Name</t>
        </is>
      </c>
      <c r="C1" s="15" t="inlineStr">
        <is>
          <t>Req ID</t>
        </is>
      </c>
      <c r="D1" s="15" t="inlineStr">
        <is>
          <t>Description</t>
        </is>
      </c>
      <c r="E1" s="15" t="inlineStr">
        <is>
          <t>Level</t>
        </is>
      </c>
      <c r="F1" s="15" t="inlineStr">
        <is>
          <t>Status</t>
        </is>
      </c>
      <c r="G1" s="15" t="inlineStr">
        <is>
          <t>Observations</t>
        </is>
      </c>
      <c r="H1" s="15" t="inlineStr">
        <is>
          <t>Reference / Link</t>
        </is>
      </c>
    </row>
    <row r="2" ht="18" customHeight="1">
      <c r="A2" s="16" t="inlineStr">
        <is>
          <t>V17.1</t>
        </is>
      </c>
      <c r="B2" s="16" t="inlineStr">
        <is>
          <t>TURN Server</t>
        </is>
      </c>
      <c r="C2" s="16" t="n"/>
      <c r="D2" s="16" t="n"/>
      <c r="E2" s="16" t="n"/>
      <c r="F2" s="16" t="n"/>
      <c r="G2" s="16" t="n"/>
      <c r="H2" s="16" t="n"/>
    </row>
    <row r="3" ht="30" customHeight="1">
      <c r="A3" s="17" t="inlineStr">
        <is>
          <t>V17.1</t>
        </is>
      </c>
      <c r="B3" s="17" t="inlineStr">
        <is>
          <t>TURN Server</t>
        </is>
      </c>
      <c r="C3" s="18" t="inlineStr">
        <is>
          <t>V17.1.1</t>
        </is>
      </c>
      <c r="D3" s="19" t="inlineStr">
        <is>
          <t>Verify that the Traversal Using Relays around NAT (TURN) service only allows access to IP addresses that are not reserved for special purposes (e.g., internal networks, broadcast, loopback). Note that this applies to both IPv4 and IPv6 addresses.</t>
        </is>
      </c>
      <c r="E3" s="20" t="n">
        <v>2</v>
      </c>
      <c r="F3" s="21" t="inlineStr">
        <is>
          <t>Not Started</t>
        </is>
      </c>
      <c r="G3" s="19" t="n"/>
      <c r="H3" s="19" t="n"/>
    </row>
    <row r="4" ht="30" customHeight="1">
      <c r="A4" s="22" t="inlineStr">
        <is>
          <t>V17.1</t>
        </is>
      </c>
      <c r="B4" s="22" t="inlineStr">
        <is>
          <t>TURN Server</t>
        </is>
      </c>
      <c r="C4" s="23" t="inlineStr">
        <is>
          <t>V17.1.2</t>
        </is>
      </c>
      <c r="D4" s="24" t="inlineStr">
        <is>
          <t>Verify that the Traversal Using Relays around NAT (TURN) service is not susceptible to resource exhaustion when legitimate users attempt to open a large number of ports on the TURN server.</t>
        </is>
      </c>
      <c r="E4" s="26" t="n">
        <v>3</v>
      </c>
      <c r="F4" s="21" t="inlineStr">
        <is>
          <t>Not Started</t>
        </is>
      </c>
      <c r="G4" s="24" t="n"/>
      <c r="H4" s="24" t="n"/>
    </row>
    <row r="5" ht="18" customHeight="1">
      <c r="A5" s="16" t="inlineStr">
        <is>
          <t>V17.2</t>
        </is>
      </c>
      <c r="B5" s="16" t="inlineStr">
        <is>
          <t>Media</t>
        </is>
      </c>
      <c r="C5" s="16" t="n"/>
      <c r="D5" s="16" t="n"/>
      <c r="E5" s="16" t="n"/>
      <c r="F5" s="16" t="n"/>
      <c r="G5" s="16" t="n"/>
      <c r="H5" s="16" t="n"/>
    </row>
    <row r="6" ht="30" customHeight="1">
      <c r="A6" s="17" t="inlineStr">
        <is>
          <t>V17.2</t>
        </is>
      </c>
      <c r="B6" s="17" t="inlineStr">
        <is>
          <t>Media</t>
        </is>
      </c>
      <c r="C6" s="18" t="inlineStr">
        <is>
          <t>V17.2.1</t>
        </is>
      </c>
      <c r="D6" s="19" t="inlineStr">
        <is>
          <t>Verify that the key for the Datagram Transport Layer Security (DTLS) certificate is managed and protected based on the documented policy for management of cryptographic keys.</t>
        </is>
      </c>
      <c r="E6" s="20" t="n">
        <v>2</v>
      </c>
      <c r="F6" s="21" t="inlineStr">
        <is>
          <t>Not Started</t>
        </is>
      </c>
      <c r="G6" s="19" t="n"/>
      <c r="H6" s="19" t="n"/>
    </row>
    <row r="7" ht="30" customHeight="1">
      <c r="A7" s="22" t="inlineStr">
        <is>
          <t>V17.2</t>
        </is>
      </c>
      <c r="B7" s="22" t="inlineStr">
        <is>
          <t>Media</t>
        </is>
      </c>
      <c r="C7" s="23" t="inlineStr">
        <is>
          <t>V17.2.2</t>
        </is>
      </c>
      <c r="D7" s="24"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20" t="n">
        <v>2</v>
      </c>
      <c r="F7" s="21" t="inlineStr">
        <is>
          <t>Not Started</t>
        </is>
      </c>
      <c r="G7" s="24" t="n"/>
      <c r="H7" s="24" t="n"/>
    </row>
    <row r="8" ht="30" customHeight="1">
      <c r="A8" s="17" t="inlineStr">
        <is>
          <t>V17.2</t>
        </is>
      </c>
      <c r="B8" s="17" t="inlineStr">
        <is>
          <t>Media</t>
        </is>
      </c>
      <c r="C8" s="18" t="inlineStr">
        <is>
          <t>V17.2.3</t>
        </is>
      </c>
      <c r="D8" s="19"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20" t="n">
        <v>2</v>
      </c>
      <c r="F8" s="21" t="inlineStr">
        <is>
          <t>Not Started</t>
        </is>
      </c>
      <c r="G8" s="19" t="n"/>
      <c r="H8" s="19" t="n"/>
    </row>
    <row r="9" ht="30" customHeight="1">
      <c r="A9" s="22" t="inlineStr">
        <is>
          <t>V17.2</t>
        </is>
      </c>
      <c r="B9" s="22" t="inlineStr">
        <is>
          <t>Media</t>
        </is>
      </c>
      <c r="C9" s="23" t="inlineStr">
        <is>
          <t>V17.2.4</t>
        </is>
      </c>
      <c r="D9" s="24" t="inlineStr">
        <is>
          <t>Verify that the media server is able to continue processing incoming media traffic when encountering malformed Secure Real-time Transport Protocol (SRTP) packets.</t>
        </is>
      </c>
      <c r="E9" s="20" t="n">
        <v>2</v>
      </c>
      <c r="F9" s="21" t="inlineStr">
        <is>
          <t>Not Started</t>
        </is>
      </c>
      <c r="G9" s="24" t="n"/>
      <c r="H9" s="24" t="n"/>
    </row>
    <row r="10" ht="30" customHeight="1">
      <c r="A10" s="17" t="inlineStr">
        <is>
          <t>V17.2</t>
        </is>
      </c>
      <c r="B10" s="17" t="inlineStr">
        <is>
          <t>Media</t>
        </is>
      </c>
      <c r="C10" s="18" t="inlineStr">
        <is>
          <t>V17.2.5</t>
        </is>
      </c>
      <c r="D10" s="19" t="inlineStr">
        <is>
          <t>Verify that the media server is able to continue processing incoming media traffic during a flood of Secure Real-time Transport Protocol (SRTP) packets from legitimate users.</t>
        </is>
      </c>
      <c r="E10" s="26" t="n">
        <v>3</v>
      </c>
      <c r="F10" s="21" t="inlineStr">
        <is>
          <t>Not Started</t>
        </is>
      </c>
      <c r="G10" s="19" t="n"/>
      <c r="H10" s="19" t="n"/>
    </row>
    <row r="11" ht="30" customHeight="1">
      <c r="A11" s="22" t="inlineStr">
        <is>
          <t>V17.2</t>
        </is>
      </c>
      <c r="B11" s="22" t="inlineStr">
        <is>
          <t>Media</t>
        </is>
      </c>
      <c r="C11" s="23" t="inlineStr">
        <is>
          <t>V17.2.6</t>
        </is>
      </c>
      <c r="D11" s="24" t="inlineStr">
        <is>
          <t>Verify that the media server is not susceptible to the "ClientHello" Race Condition vulnerability in Datagram Transport Layer Security (DTLS) by checking if the media server is publicly known to be vulnerable or by performing the race condition test.</t>
        </is>
      </c>
      <c r="E11" s="26" t="n">
        <v>3</v>
      </c>
      <c r="F11" s="21" t="inlineStr">
        <is>
          <t>Not Started</t>
        </is>
      </c>
      <c r="G11" s="24" t="n"/>
      <c r="H11" s="24" t="n"/>
    </row>
    <row r="12" ht="30" customHeight="1">
      <c r="A12" s="17" t="inlineStr">
        <is>
          <t>V17.2</t>
        </is>
      </c>
      <c r="B12" s="17" t="inlineStr">
        <is>
          <t>Media</t>
        </is>
      </c>
      <c r="C12" s="18" t="inlineStr">
        <is>
          <t>V17.2.7</t>
        </is>
      </c>
      <c r="D12" s="19" t="inlineStr">
        <is>
          <t>Verify that any audio or video recording mechanisms associated with the media server are able to continue processing incoming media traffic during a flood of Secure Real-time Transport Protocol (SRTP) packets from legitimate users.</t>
        </is>
      </c>
      <c r="E12" s="26" t="n">
        <v>3</v>
      </c>
      <c r="F12" s="21" t="inlineStr">
        <is>
          <t>Not Started</t>
        </is>
      </c>
      <c r="G12" s="19" t="n"/>
      <c r="H12" s="19" t="n"/>
    </row>
    <row r="13" ht="30" customHeight="1">
      <c r="A13" s="22" t="inlineStr">
        <is>
          <t>V17.2</t>
        </is>
      </c>
      <c r="B13" s="22" t="inlineStr">
        <is>
          <t>Media</t>
        </is>
      </c>
      <c r="C13" s="23" t="inlineStr">
        <is>
          <t>V17.2.8</t>
        </is>
      </c>
      <c r="D13" s="24" t="inlineStr">
        <is>
          <t>Verify that the Datagram Transport Layer Security (DTLS) certificate is checked against the Session Description Protocol (SDP) fingerprint attribute, terminating the media stream if the check fails, to ensure the authenticity of the media stream.</t>
        </is>
      </c>
      <c r="E13" s="26" t="n">
        <v>3</v>
      </c>
      <c r="F13" s="21" t="inlineStr">
        <is>
          <t>Not Started</t>
        </is>
      </c>
      <c r="G13" s="24" t="n"/>
      <c r="H13" s="24" t="n"/>
    </row>
    <row r="14" ht="18" customHeight="1">
      <c r="A14" s="16" t="inlineStr">
        <is>
          <t>V17.3</t>
        </is>
      </c>
      <c r="B14" s="16" t="inlineStr">
        <is>
          <t>Signaling</t>
        </is>
      </c>
      <c r="C14" s="16" t="n"/>
      <c r="D14" s="16" t="n"/>
      <c r="E14" s="16" t="n"/>
      <c r="F14" s="16" t="n"/>
      <c r="G14" s="16" t="n"/>
      <c r="H14" s="16" t="n"/>
    </row>
    <row r="15" ht="30" customHeight="1">
      <c r="A15" s="17" t="inlineStr">
        <is>
          <t>V17.3</t>
        </is>
      </c>
      <c r="B15" s="17" t="inlineStr">
        <is>
          <t>Signaling</t>
        </is>
      </c>
      <c r="C15" s="18" t="inlineStr">
        <is>
          <t>V17.3.1</t>
        </is>
      </c>
      <c r="D15" s="19" t="inlineStr">
        <is>
          <t>Verify that the signaling server is able to continue processing legitimate incoming signaling messages during a flood attack. This should be achieved by implementing rate limiting at the signaling level.</t>
        </is>
      </c>
      <c r="E15" s="20" t="n">
        <v>2</v>
      </c>
      <c r="F15" s="21" t="inlineStr">
        <is>
          <t>Not Started</t>
        </is>
      </c>
      <c r="G15" s="19" t="n"/>
      <c r="H15" s="19" t="n"/>
    </row>
    <row r="16" ht="30" customHeight="1">
      <c r="A16" s="22" t="inlineStr">
        <is>
          <t>V17.3</t>
        </is>
      </c>
      <c r="B16" s="22" t="inlineStr">
        <is>
          <t>Signaling</t>
        </is>
      </c>
      <c r="C16" s="23" t="inlineStr">
        <is>
          <t>V17.3.2</t>
        </is>
      </c>
      <c r="D16" s="24"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20" t="n">
        <v>2</v>
      </c>
      <c r="F16" s="21" t="inlineStr">
        <is>
          <t>Not Started</t>
        </is>
      </c>
      <c r="G16" s="24" t="n"/>
      <c r="H16" s="24"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pt-PT</dc:language>
  <dcterms:created xmlns:dcterms="http://purl.org/dc/terms/" xmlns:xsi="http://www.w3.org/2001/XMLSchema-instance" xsi:type="dcterms:W3CDTF">2026-03-04T10:14:28Z</dcterms:created>
  <dcterms:modified xmlns:dcterms="http://purl.org/dc/terms/" xmlns:xsi="http://www.w3.org/2001/XMLSchema-instance" xsi:type="dcterms:W3CDTF">2026-04-20T17:57:37Z</dcterms:modified>
  <cp:lastModifiedBy>Lourenço Mendes (1201270)</cp:lastModifiedBy>
  <cp:revision>3</cp:revision>
</cp:coreProperties>
</file>

<file path=docProps/custom.xml><?xml version="1.0" encoding="utf-8"?>
<Properties xmlns="http://schemas.openxmlformats.org/officeDocument/2006/custom-properties">
  <property name="AppVersion" fmtid="{D5CDD505-2E9C-101B-9397-08002B2CF9AE}" pid="2">
    <vt:lpwstr xmlns:vt="http://schemas.openxmlformats.org/officeDocument/2006/docPropsVTypes">3.1</vt:lpwstr>
  </property>
</Properties>
</file>